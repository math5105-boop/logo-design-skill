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xte Danone" sheetId="1" state="visible" r:id="rId3"/>
    <sheet name="Matrice de dépendance" sheetId="2" state="visible" r:id="rId4"/>
    <sheet name="Influence-Dépendance" sheetId="3" state="visible" r:id="rId5"/>
    <sheet name="Matrice de risques" sheetId="4" state="visible" r:id="rId6"/>
    <sheet name="Matrice prospective" sheetId="5" state="visible" r:id="rId7"/>
    <sheet name="Scénarios" sheetId="6" state="visible" r:id="rId8"/>
    <sheet name="Recommandation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<sst xmlns="http://schemas.openxmlformats.org/spreadsheetml/2006/main" count="371" uniqueCount="237">
  <si>
    <t xml:space="preserve">Danone – Analyse des risques achats (MS Achats)</t>
  </si>
  <si>
    <t xml:space="preserve">Matrice de dépendance · Matrice de risques · Matrice prospective (5 ans) · Recommandations</t>
  </si>
  <si>
    <t xml:space="preserve">Entreprise</t>
  </si>
  <si>
    <t xml:space="preserve">Danone SA – groupe agroalimentaire français (siège : Paris), présent dans plus de 120 pays.</t>
  </si>
  <si>
    <t xml:space="preserve">Métiers</t>
  </si>
  <si>
    <t xml:space="preserve">1) Produits laitiers et d'origine végétale (Danone, Activia, Actimel, Alpro, Oikos, Danio…)
2) Eaux (Evian, Volvic, Badoit, Aqua…)
3) Nutrition spécialisée (lait infantile Blédina / Aptamil / Gallia, nutrition médicale Nutricia).</t>
  </si>
  <si>
    <t xml:space="preserve">Achats stratégiques</t>
  </si>
  <si>
    <t xml:space="preserve">• Lait cru (collecte auprès de milliers d'éleveurs) et ingrédients laitiers (poudres, protéines)
• Matières végétales : soja, avoine, amandes, fruits, sucre, cacao
• Emballages : PET / rPET (bouteilles d'eau), pots plastique et carton
• Énergie (sites industriels, chaîne du froid) et transport
• Accès à la ressource en eau (impluviums d'Evian et Volvic)</t>
  </si>
  <si>
    <t xml:space="preserve">Spécificités risques</t>
  </si>
  <si>
    <t xml:space="preserve">Produits frais à DLC courte (chaîne logistique tendue), exigences sanitaires maximales sur la nutrition infantile, forte exposition aux sujets climat / eau / plastique (image de marque), dépendance au modèle d'élevage laitier.</t>
  </si>
  <si>
    <t xml:space="preserve">Méthode</t>
  </si>
  <si>
    <t xml:space="preserve">1. Matrice de dépendance : les variables en ligne influencent les variables en colonne (x).
2. Plan influence / dépendance : classement des variables (motrices, relais, dépendantes, autonomes).
3. Matrice de risques : fréquence × impact (échelle 1 à 5).
4. Matrice prospective : 5 hypothèses à 5 ans par variable clé, puis scénarios narratifs.
5. Recommandations stratégiques.</t>
  </si>
  <si>
    <t xml:space="preserve">Légende</t>
  </si>
  <si>
    <t xml:space="preserve">Cellules jaunes = variables clés retenues · Cellules 'x' et notes de fréquence/impact = hypothèses de travail modifiables (les totaux, scores et graphiques se recalculent).</t>
  </si>
  <si>
    <t xml:space="preserve">Avertissement</t>
  </si>
  <si>
    <t xml:space="preserve">Les notations et hypothèses chiffrées sont des estimations pédagogiques du groupe, pas des données publiées par Danone.</t>
  </si>
  <si>
    <t xml:space="preserve">Matrice de dépendance – Danone</t>
  </si>
  <si>
    <t xml:space="preserve">Lecture : la variable en LIGNE influence la variable en COLONNE (x). Total 1 = influence (motricité), Total 2 = dépendance.</t>
  </si>
  <si>
    <t xml:space="preserve">Variables</t>
  </si>
  <si>
    <t xml:space="preserve">Prix du lait</t>
  </si>
  <si>
    <t xml:space="preserve">Prix MP agricoles</t>
  </si>
  <si>
    <t xml:space="preserve">Énergie / carburants</t>
  </si>
  <si>
    <t xml:space="preserve">Emballages</t>
  </si>
  <si>
    <t xml:space="preserve">Réchauffement climatique</t>
  </si>
  <si>
    <t xml:space="preserve">Ressource en eau</t>
  </si>
  <si>
    <t xml:space="preserve">Régl. sanitaires</t>
  </si>
  <si>
    <t xml:space="preserve">Régl. environnementales</t>
  </si>
  <si>
    <t xml:space="preserve">Fiabilité fournisseurs</t>
  </si>
  <si>
    <t xml:space="preserve">Stabilité géopolitique</t>
  </si>
  <si>
    <t xml:space="preserve">Fiabilité logistique</t>
  </si>
  <si>
    <t xml:space="preserve">Tarifs douaniers</t>
  </si>
  <si>
    <t xml:space="preserve">Sanctions / compliance</t>
  </si>
  <si>
    <t xml:space="preserve">Épizooties</t>
  </si>
  <si>
    <t xml:space="preserve">Tendances de conso</t>
  </si>
  <si>
    <t xml:space="preserve">Pression distribution</t>
  </si>
  <si>
    <t xml:space="preserve">Climat social</t>
  </si>
  <si>
    <t xml:space="preserve">Cours mondiaux</t>
  </si>
  <si>
    <t xml:space="preserve">TOTAL 1
Influence</t>
  </si>
  <si>
    <t xml:space="preserve">TOTAL 2
Dépendance</t>
  </si>
  <si>
    <t xml:space="preserve">TOTAL 1+2</t>
  </si>
  <si>
    <t xml:space="preserve">Prix du lait cru (collecte laitière)</t>
  </si>
  <si>
    <t xml:space="preserve">x</t>
  </si>
  <si>
    <t xml:space="preserve">Prix des matières premières agricoles (sucre, fruits, soja, avoine, amandes)</t>
  </si>
  <si>
    <t xml:space="preserve">Prix de l'énergie / carburants</t>
  </si>
  <si>
    <t xml:space="preserve">Prix et disponibilité des emballages (PET, rPET, carton)</t>
  </si>
  <si>
    <t xml:space="preserve">Réchauffement climatique / sécheresses</t>
  </si>
  <si>
    <t xml:space="preserve">Ressource en eau (sources minérales, nappes)</t>
  </si>
  <si>
    <t xml:space="preserve">Réglementations sanitaires / nutritionnelles</t>
  </si>
  <si>
    <t xml:space="preserve">Réglementations environnementales (emballages, méthane, CSRD)</t>
  </si>
  <si>
    <t xml:space="preserve">Fiabilité des fournisseurs / renouvellement des éleveurs</t>
  </si>
  <si>
    <t xml:space="preserve">Stabilité géopolitique des zones de production</t>
  </si>
  <si>
    <t xml:space="preserve">Fiabilité logistique / routes maritimes</t>
  </si>
  <si>
    <t xml:space="preserve">Tarifs douaniers / protectionnisme</t>
  </si>
  <si>
    <t xml:space="preserve">Sanctions internationales / compliance</t>
  </si>
  <si>
    <t xml:space="preserve">Épizooties (FCO, fièvre aphteuse, grippe aviaire)</t>
  </si>
  <si>
    <t xml:space="preserve">Tendances de consommation / opinion (végétal, santé, boycotts)</t>
  </si>
  <si>
    <t xml:space="preserve">Pression de la distribution &amp; concurrence (MDD, Egalim)</t>
  </si>
  <si>
    <t xml:space="preserve">Climat social (agricole et industriel)</t>
  </si>
  <si>
    <t xml:space="preserve">Cours mondiaux / spéculation (poudre de lait, beurre, sucre)</t>
  </si>
  <si>
    <t xml:space="preserve">TOTAL 2 (dépendance)</t>
  </si>
  <si>
    <t xml:space="preserve">Contrôle : somme des influences = somme des dépendances</t>
  </si>
  <si>
    <t xml:space="preserve">Plan influence / dépendance (type MICMAC)</t>
  </si>
  <si>
    <t xml:space="preserve">Calculé automatiquement depuis la matrice de dépendance. Seuils = moyennes.</t>
  </si>
  <si>
    <t xml:space="preserve">Variable</t>
  </si>
  <si>
    <t xml:space="preserve">Influence</t>
  </si>
  <si>
    <t xml:space="preserve">Dépendance</t>
  </si>
  <si>
    <t xml:space="preserve">Classe</t>
  </si>
  <si>
    <t xml:space="preserve">Moyenne (seuil)</t>
  </si>
  <si>
    <t xml:space="preserve">Motrice (entrée)</t>
  </si>
  <si>
    <t xml:space="preserve">Variables qui conditionnent le système, peu influencées : à surveiller en veille (signaux faibles).</t>
  </si>
  <si>
    <t xml:space="preserve">Relais (enjeu)</t>
  </si>
  <si>
    <t xml:space="preserve">Très influentes ET très dépendantes : instables, leviers d'action prioritaires.</t>
  </si>
  <si>
    <t xml:space="preserve">Dépendante (résultat)</t>
  </si>
  <si>
    <t xml:space="preserve">Subissent le système : indicateurs de résultat (coûts, prix d'achat).</t>
  </si>
  <si>
    <t xml:space="preserve">Autonome</t>
  </si>
  <si>
    <t xml:space="preserve">Peu liées au reste : traitement secondaire.</t>
  </si>
  <si>
    <t xml:space="preserve">Matrice de risques – Danone</t>
  </si>
  <si>
    <t xml:space="preserve">Fréquence (probabilité) et impact notés de 1 à 5 (saisie en bleu). Score = fréquence × impact.</t>
  </si>
  <si>
    <t xml:space="preserve">Grille fréquence × impact (score)</t>
  </si>
  <si>
    <t xml:space="preserve">Fréquence</t>
  </si>
  <si>
    <t xml:space="preserve">Impact</t>
  </si>
  <si>
    <t xml:space="preserve">Score</t>
  </si>
  <si>
    <t xml:space="preserve">Rang</t>
  </si>
  <si>
    <t xml:space="preserve">Criticité</t>
  </si>
  <si>
    <t xml:space="preserve">Justification Danone</t>
  </si>
  <si>
    <t xml:space="preserve">Prix du lait = 1er poste d'achat de l'activité laitière ; volatilité forte et négociations annuelles avec les OP d'éleveurs.</t>
  </si>
  <si>
    <t xml:space="preserve">Sucre, fruits, cacao et végétaux (soja, avoine, amandes pour Alpro) exposés aux aléas climatiques.</t>
  </si>
  <si>
    <t xml:space="preserve">Sites industriels énergivores (UHT, froid, embouteillage) ; transport de produits frais et d'eaux pondéreuses.</t>
  </si>
  <si>
    <t xml:space="preserve">Bouteilles d'eau en PET / rPET : tension sur le rPET de qualité alimentaire liée aux objectifs de recyclé.</t>
  </si>
  <si>
    <t xml:space="preserve">Sécheresses = baisse de la pousse de l'herbe, de la collecte et des rendements agricoles.</t>
  </si>
  <si>
    <t xml:space="preserve">Évolution des débits des sources ; restrictions d'usage et contestation locale des prélèvements (eaux minérales).</t>
  </si>
  <si>
    <t xml:space="preserve">Nutrition infantile et médicale : tolérance zéro, risque de rappel produit majeur (fréquence faible, impact maximal).</t>
  </si>
  <si>
    <t xml:space="preserve">Directive PPWR, loi AGEC, réduction du méthane, CSRD : surcoûts et adaptations des emballages et de l'amont.</t>
  </si>
  <si>
    <t xml:space="preserve">Vieillissement et non-renouvellement des éleveurs, déconversion laitière dans certains bassins.</t>
  </si>
  <si>
    <t xml:space="preserve">Nombre de risques Danone par case</t>
  </si>
  <si>
    <t xml:space="preserve">Exposition aux pays émergents (Afrique, Asie, Amérique latine) ; sortie de Russie récente.</t>
  </si>
  <si>
    <t xml:space="preserve">Mer Rouge / Suez, congestion portuaire ; produits frais intolérants aux retards.</t>
  </si>
  <si>
    <t xml:space="preserve">Droits de douane US / Chine sur les produits laitiers et ingrédients, mesures de rétorsion.</t>
  </si>
  <si>
    <t xml:space="preserve">Contrôles export, sanctions, devoir de vigilance, déforestation (règlement RDUE sur soja / cacao).</t>
  </si>
  <si>
    <t xml:space="preserve">FCO, fièvre aphteuse, grippe aviaire : abattages, restrictions de mouvements, baisse de collecte.</t>
  </si>
  <si>
    <t xml:space="preserve">Montée du végétal, de la santé / protéines, risques de boycott et d'image (plastique, eau).</t>
  </si>
  <si>
    <t xml:space="preserve">Négociations commerciales tendues avec la GMS, montée des MDD, cadre Egalim.</t>
  </si>
  <si>
    <t xml:space="preserve">Mobilisations agricoles, grèves industrielles ou logistiques.</t>
  </si>
  <si>
    <t xml:space="preserve">Cours GDT / Euronext (poudre, beurre, sucre) très volatils, impact direct sur les prix d'achat.</t>
  </si>
  <si>
    <t xml:space="preserve">Échelle de notation</t>
  </si>
  <si>
    <t xml:space="preserve">1 à 5</t>
  </si>
  <si>
    <t xml:space="preserve">Criticité : ≥15 Critique · 10-14 Élevé · 5-9 Modéré · &lt;5 Faible</t>
  </si>
  <si>
    <t xml:space="preserve">Matrice prospective – scénarios à 5 ans (horizon 2031)</t>
  </si>
  <si>
    <t xml:space="preserve">Hypothèses</t>
  </si>
  <si>
    <t xml:space="preserve">Variables clés</t>
  </si>
  <si>
    <t xml:space="preserve">Continuum</t>
  </si>
  <si>
    <t xml:space="preserve">Renforcement</t>
  </si>
  <si>
    <t xml:space="preserve">Explosion</t>
  </si>
  <si>
    <t xml:space="preserve">Affaiblissement</t>
  </si>
  <si>
    <t xml:space="preserve">Effondrement</t>
  </si>
  <si>
    <t xml:space="preserve">Prix du lait cru</t>
  </si>
  <si>
    <t xml:space="preserve">Volatilité avec tendance haussière modérée (+2 %/an) ; négociations annuelles tendues avec les OP.</t>
  </si>
  <si>
    <t xml:space="preserve">Décapitalisation laitière en Europe : +5 %/an, primes de qualité et contrats pluriannuels généralisés.</t>
  </si>
  <si>
    <t xml:space="preserve">Pénurie de lait dans plusieurs bassins : +12 %/an, pics ponctuels à +25 %, rationnement de la collecte.</t>
  </si>
  <si>
    <t xml:space="preserve">Stabilisation (+0,5 %/an) grâce aux gains de productivité et au retour de la production en Océanie.</t>
  </si>
  <si>
    <t xml:space="preserve">Surproduction mondiale, chute des prix (-5 %/an) et crise des revenus des éleveurs.</t>
  </si>
  <si>
    <t xml:space="preserve">Prix des matières premières agricoles</t>
  </si>
  <si>
    <t xml:space="preserve">Hausse tendancielle +4 %/an (sucre, fruits, cacao), forte variabilité.</t>
  </si>
  <si>
    <t xml:space="preserve">+7 %/an : récoltes dégradées, concurrence des usages (biocarburants) sur le sucre et les végétaux.</t>
  </si>
  <si>
    <t xml:space="preserve">+15 %/an, ruptures de disponibilité sur le cacao, certains fruits et l'amande (Californie).</t>
  </si>
  <si>
    <t xml:space="preserve">+1 %/an, détente des marchés après de bonnes récoltes successives.</t>
  </si>
  <si>
    <t xml:space="preserve">Baisse générale des cours (-3 %/an), surcapacités mondiales.</t>
  </si>
  <si>
    <t xml:space="preserve">Instabilité avec pics, tendance +3 %/an ; taxe carbone croissante.</t>
  </si>
  <si>
    <t xml:space="preserve">+5 %/an, renchérissement du gaz et du quota CO2 (ETS2 transport).</t>
  </si>
  <si>
    <t xml:space="preserve">Choc énergétique : +10 %/an, arrêts temporaires de lignes énergivores.</t>
  </si>
  <si>
    <t xml:space="preserve">+1 %/an, PPA renouvelables et électrification des sites amortissent la hausse.</t>
  </si>
  <si>
    <t xml:space="preserve">Baisse durable des prix (-1 %/an), abondance de GNL et d'électricité décarbonée.</t>
  </si>
  <si>
    <t xml:space="preserve">Emballages (PET / rPET)</t>
  </si>
  <si>
    <t xml:space="preserve">rPET rare et plus cher que le vierge (+20 à 30 %), approvisionnement tendu.</t>
  </si>
  <si>
    <t xml:space="preserve">Obligations PPWR : quotas de recyclé et de réemploi, surcoût emballage +6 %/an.</t>
  </si>
  <si>
    <t xml:space="preserve">Interdiction progressive des plastiques à usage unique sur certains formats : rupture du modèle bouteille PET.</t>
  </si>
  <si>
    <t xml:space="preserve">Massification du recyclage, rPET au prix du vierge, nouvelles capacités de recyclage chimique.</t>
  </si>
  <si>
    <t xml:space="preserve">Retour en arrière réglementaire, plastique vierge bon marché, pression sur l'image.</t>
  </si>
  <si>
    <t xml:space="preserve">Réchauffement climatique / eau</t>
  </si>
  <si>
    <t xml:space="preserve">+1,5 °C, sécheresses récurrentes, stress hydrique estival, baisse de collecte en été.</t>
  </si>
  <si>
    <t xml:space="preserve">+1,7 °C, sécheresses annuelles, restrictions de prélèvements pour les sites d'embouteillage.</t>
  </si>
  <si>
    <t xml:space="preserve">+2 °C, débit des sources en baisse durable, conflits d'usage ouverts, fermeture de certains captages.</t>
  </si>
  <si>
    <t xml:space="preserve">+1,3 °C, épisodes extrêmes plus rares, recharge correcte des nappes.</t>
  </si>
  <si>
    <t xml:space="preserve">Retour de l'humidité et adoucissement, conditions de pousse de l'herbe favorables.</t>
  </si>
  <si>
    <t xml:space="preserve">Réglementations environnementales</t>
  </si>
  <si>
    <t xml:space="preserve">Renforcement modéré et différencié selon les zones (UE stricte, reste du monde souple).</t>
  </si>
  <si>
    <t xml:space="preserve">Accélération : taxation du méthane agricole, reporting CSRD complet, RDUE strictement appliqué.</t>
  </si>
  <si>
    <t xml:space="preserve">Encadrement strict de toute la chaîne (quotas carbone agricoles, eau, emballages).</t>
  </si>
  <si>
    <t xml:space="preserve">Assouplissement des normes hors GES (simplification « omnibus » UE).</t>
  </si>
  <si>
    <t xml:space="preserve">Abandon quasi total des contraintes environnementales, au profit de la compétitivité.</t>
  </si>
  <si>
    <t xml:space="preserve">Fiabilité des fournisseurs / éleveurs</t>
  </si>
  <si>
    <t xml:space="preserve">Érosion lente du nombre d'éleveurs (-2 à 3 %/an), vieillissement, concentration des exploitations.</t>
  </si>
  <si>
    <t xml:space="preserve">-5 %/an : déconversion laitière, le sourcing doit se redéployer vers d'autres bassins.</t>
  </si>
  <si>
    <t xml:space="preserve">Crise grave du monde agricole, disparition de bassins laitiers entiers, volumes insuffisants.</t>
  </si>
  <si>
    <t xml:space="preserve">Stabilisation grâce aux contrats de long terme et à l'installation de jeunes éleveurs.</t>
  </si>
  <si>
    <t xml:space="preserve">Rebond des installations et des cheptels, offre abondante.</t>
  </si>
  <si>
    <t xml:space="preserve">Stabilité géopolitique / logistique</t>
  </si>
  <si>
    <t xml:space="preserve">Instabilité diffuse, résilience globale ; incidents ponctuels (Mer Rouge).</t>
  </si>
  <si>
    <t xml:space="preserve">Recrudescence des conflits, routes maritimes déviées, fret +20 %, assurances en hausse.</t>
  </si>
  <si>
    <t xml:space="preserve">Fermeture durable d'un détroit majeur, ruptures d'approvisionnement en ingrédients importés.</t>
  </si>
  <si>
    <t xml:space="preserve">Apaisement relatif, normalisation des routes et des taux de fret.</t>
  </si>
  <si>
    <t xml:space="preserve">Chaînes fluides et peu coûteuses, effondrement des risques logistiques.</t>
  </si>
  <si>
    <t xml:space="preserve">Tarifs douaniers / sanctions</t>
  </si>
  <si>
    <t xml:space="preserve">Barrières ciblées qui se multiplient, avec reculs et forte incertitude.</t>
  </si>
  <si>
    <t xml:space="preserve">Croissance continue des barrières hors accords de libre-échange, rétorsions sur les produits laitiers.</t>
  </si>
  <si>
    <t xml:space="preserve">Guerre commerciale ouverte (US / Chine / UE), marchés export fermés, sanctions élargies.</t>
  </si>
  <si>
    <t xml:space="preserve">Retour à des accords bilatéraux, baisse ciblée des droits.</t>
  </si>
  <si>
    <t xml:space="preserve">Accord global à l'OMC, harmonisation normative et levée des sanctions.</t>
  </si>
  <si>
    <t xml:space="preserve">Épisodes réguliers (FCO, grippe aviaire), pertes de collecte localisées de 1 à 2 %.</t>
  </si>
  <si>
    <t xml:space="preserve">Épizooties annuelles plus étendues avec la remontée des vecteurs vers le nord, -4 % de collecte.</t>
  </si>
  <si>
    <t xml:space="preserve">Fièvre aphteuse généralisée en Europe : abattages massifs, embargos, -15 % de collecte.</t>
  </si>
  <si>
    <t xml:space="preserve">Vaccination généralisée, épisodes rares et maîtrisés.</t>
  </si>
  <si>
    <t xml:space="preserve">Quasi-disparition des épizooties majeures.</t>
  </si>
  <si>
    <t xml:space="preserve">Tendances de consommation</t>
  </si>
  <si>
    <t xml:space="preserve">Croissance lente du végétal et des produits santé / protéinés, stagnation des yaourts classiques en OCDE.</t>
  </si>
  <si>
    <t xml:space="preserve">Forte accélération santé / protéines / microbiote, croissance forte des pays émergents.</t>
  </si>
  <si>
    <t xml:space="preserve">Défiance massive (plastique, eau minérale, ultra-transformés), boycotts répétés des marques.</t>
  </si>
  <si>
    <t xml:space="preserve">Retour au prix : arbitrages vers les MDD, baisse des volumes de marque.</t>
  </si>
  <si>
    <t xml:space="preserve">Effondrement des catégories premium, forte déconsommation.</t>
  </si>
  <si>
    <t xml:space="preserve">Cours mondiaux / spéculation</t>
  </si>
  <si>
    <t xml:space="preserve">Très aléatoires, fortes hausses occasionnelles (poudre, beurre, sucre).</t>
  </si>
  <si>
    <t xml:space="preserve">Volatilité accrue, financiarisation des marchés agricoles, amplitude ±30 %.</t>
  </si>
  <si>
    <t xml:space="preserve">Bulle spéculative suivie d'un krach, impossibilité de couvrir les achats.</t>
  </si>
  <si>
    <t xml:space="preserve">Volatilité réduite, encadrement des positions spéculatives.</t>
  </si>
  <si>
    <t xml:space="preserve">Prix bas et stables, faible intérêt des fonds pour les marchés agricoles.</t>
  </si>
  <si>
    <t xml:space="preserve">Scénarios narratifs Danone 2031</t>
  </si>
  <si>
    <t xml:space="preserve">Construits en partant majoritairement des hypothèses « renforcement » et « affaiblissement », avec un chemin cohérent entre variables.</t>
  </si>
  <si>
    <t xml:space="preserve">Scénario</t>
  </si>
  <si>
    <t xml:space="preserve">Chemin d'hypothèses</t>
  </si>
  <si>
    <t xml:space="preserve">Texte narratif</t>
  </si>
  <si>
    <t xml:space="preserve">Scénario 1 – « Tensions durables » (chemin : renforcement)</t>
  </si>
  <si>
    <t xml:space="preserve">Lait : renforcement · MP agricoles : renforcement · Énergie : continuum · Emballages : renforcement · Climat/eau : renforcement · Régl. env. : renforcement · Éleveurs : renforcement · Géopolitique : renforcement · Tarifs : renforcement · Épizooties : renforcement · Conso : continuum · Cours : renforcement</t>
  </si>
  <si>
    <t xml:space="preserve">À l'horizon 2031, le réchauffement (+1,7 °C) installe des sécheresses annuelles qui réduisent la pousse de l'herbe et accélèrent la déconversion laitière en Europe. Danone doit sécuriser son lait dans un marché en contraction : les prix progressent d'environ 5 %/an et les contrats pluriannuels deviennent la norme. Les sites d'Evian et de Volvic sont soumis à des restrictions estivales de prélèvement. Parallèlement, le règlement PPWR impose des taux de recyclé que le marché du rPET ne peut pas fournir à bas coût, et les épizooties plus fréquentes perturbent régulièrement la collecte. Les routes maritimes restent instables et les droits de douane se multiplient, ce qui renchérit les ingrédients importés (cacao, amandes, protéines). La marge brute est sous pression constante et la fonction achats devient un levier de résilience plus qu'un levier de coût.</t>
  </si>
  <si>
    <t xml:space="preserve">Scénario 2 – « Transition maîtrisée » (chemin : affaiblissement)</t>
  </si>
  <si>
    <t xml:space="preserve">Lait : affaiblissement · MP : affaiblissement · Énergie : affaiblissement · Emballages : affaiblissement · Climat/eau : continuum · Régl. env. : continuum · Éleveurs : affaiblissement · Géopolitique : affaiblissement · Tarifs : affaiblissement · Épizooties : affaiblissement · Conso : renforcement · Cours : affaiblissement</t>
  </si>
  <si>
    <t xml:space="preserve">Les tensions des années 2020 s'apaisent progressivement. La vaccination limite l'impact des épizooties, le nombre d'éleveurs se stabilise grâce aux contrats de long terme et aux programmes d'agriculture régénératrice, et le prix du lait évolue peu. La massification du recyclage aligne le rPET sur le prix du plastique vierge. Les PPA renouvelables stabilisent la facture énergétique. Le climat reste contraignant (+1,5 °C), mais les investissements dans la gestion de l'eau sécurisent les sources. La demande santé / protéines / végétal accélère, notamment dans les pays émergents : l'enjeu achats bascule vers la sécurisation de nouveaux ingrédients (protéines végétales, ferments, fibres) et l'innovation fournisseurs.</t>
  </si>
  <si>
    <t xml:space="preserve">Scénario 3 – « Continuum volatil » (chemin : continuum)</t>
  </si>
  <si>
    <t xml:space="preserve">Toutes variables : continuum, avec des chocs ponctuels (pic énergétique, épizootie, incident en Mer Rouge)</t>
  </si>
  <si>
    <t xml:space="preserve">Aucune rupture majeure, mais une succession de chocs courts et imprévisibles. Les prix du lait et des matières premières progressent de 2 à 4 %/an avec de fortes variations ; la logistique reste perturbée sans se rompre ; les réglementations environnementales se renforcent en Europe et restent souples ailleurs, ce qui crée des asymétries de concurrence. La distribution maintient une forte pression sur les prix (MDD, Egalim). Danone doit piloter en permanence l'agilité de ses approvisionnements (double sourcing, stocks de sécurité ciblés, couverture partielle des cours).</t>
  </si>
  <si>
    <t xml:space="preserve">Recommandations par rapport aux scénarios réalisés</t>
  </si>
  <si>
    <t xml:space="preserve">Choix d'une stratégie achats par famille de risque</t>
  </si>
  <si>
    <t xml:space="preserve">Famille de risque</t>
  </si>
  <si>
    <t xml:space="preserve">Stratégie retenue</t>
  </si>
  <si>
    <t xml:space="preserve">Actions achats</t>
  </si>
  <si>
    <t xml:space="preserve">Scénarios couverts</t>
  </si>
  <si>
    <t xml:space="preserve">Lait cru / éleveurs</t>
  </si>
  <si>
    <t xml:space="preserve">Critique</t>
  </si>
  <si>
    <t xml:space="preserve">Sécurisation &amp; partenariat amont</t>
  </si>
  <si>
    <t xml:space="preserve">Contrats pluriannuels avec prix indexés sur les coûts de production (Egalim), primes à l'agriculture régénératrice, aide à l'installation des jeunes éleveurs, diversification géographique des bassins de collecte.</t>
  </si>
  <si>
    <t xml:space="preserve">1, 3</t>
  </si>
  <si>
    <t xml:space="preserve">Cours mondiaux / MP agricoles</t>
  </si>
  <si>
    <t xml:space="preserve">Élevé</t>
  </si>
  <si>
    <t xml:space="preserve">Couverture &amp; diversification</t>
  </si>
  <si>
    <t xml:space="preserve">Couverture financière partielle (futures poudre de lait / sucre), multi-sourcing des fruits et végétaux, substitution de recettes (réduction du sucre), stocks stratégiques sur le cacao et les amandes.</t>
  </si>
  <si>
    <t xml:space="preserve">Climat / ressource en eau</t>
  </si>
  <si>
    <t xml:space="preserve">Résilience &amp; préservation de la ressource</t>
  </si>
  <si>
    <t xml:space="preserve">Protection des impluviums (partenariats avec les agriculteurs locaux), réduction des prélèvements par litre produit, plans de continuité en cas de restriction, dialogue avec les parties prenantes locales.</t>
  </si>
  <si>
    <t xml:space="preserve">1</t>
  </si>
  <si>
    <t xml:space="preserve">Emballages PET / rPET</t>
  </si>
  <si>
    <t xml:space="preserve">Intégration amont &amp; innovation</t>
  </si>
  <si>
    <t xml:space="preserve">Contrats long terme ou prises de participation dans des recycleurs, co-développement de recyclage chimique, développement du réemploi et des formats alternatifs (verre, canette, fontaines).</t>
  </si>
  <si>
    <t xml:space="preserve">1, 2</t>
  </si>
  <si>
    <t xml:space="preserve">Énergie</t>
  </si>
  <si>
    <t xml:space="preserve">Réduction de la dépendance</t>
  </si>
  <si>
    <t xml:space="preserve">PPA renouvelables sur 10-15 ans, électrification et efficacité énergétique des sites, achats d'énergie lissés sur plusieurs années.</t>
  </si>
  <si>
    <t xml:space="preserve">Géopolitique / logistique / tarifs</t>
  </si>
  <si>
    <t xml:space="preserve">Régionalisation</t>
  </si>
  <si>
    <t xml:space="preserve">Production au plus près des marchés (« local for local »), routes alternatives, stocks tampon sur les ingrédients importés, veille tarifaire et optimisation de l'origine douanière.</t>
  </si>
  <si>
    <t xml:space="preserve">Épizooties / sanitaire</t>
  </si>
  <si>
    <t xml:space="preserve">Prévention &amp; redondance</t>
  </si>
  <si>
    <t xml:space="preserve">Plans de biosécurité avec les éleveurs, soutien à la vaccination, double qualification des fournisseurs d'ingrédients infantiles, traçabilité renforcée.</t>
  </si>
  <si>
    <t xml:space="preserve">Consommation / distribution</t>
  </si>
  <si>
    <t xml:space="preserve">Agilité du portefeuille</t>
  </si>
  <si>
    <t xml:space="preserve">Sourcing de nouvelles protéines (végétal, fermentation), achats flexibles pour suivre l'arbitrage marque / MDD, transparence RSE pour limiter les risques d'image.</t>
  </si>
  <si>
    <t xml:space="preserve">2, 3</t>
  </si>
  <si>
    <t xml:space="preserve">Synthèse stratégique</t>
  </si>
  <si>
    <t xml:space="preserve">Face à des risques majoritairement structurels (climat, éleveurs, eau, emballages), Danone a intérêt à privilégier une stratégie de SÉCURISATION et de PARTENARIAT de long terme avec l'amont agricole plutôt qu'une logique purement transactionnelle. Elle doit être complétée par une couverture financière sur les matières cotées et par une régionalisation des chaînes d'approvisionnement pour limiter l'exposition géopolitique. La veille sur les variables motrices (climat, géopolitique, énergie, réglementations) doit alimenter une révision annuelle de la matrice de risques.</t>
  </si>
</sst>
</file>

<file path=xl/styles.xml><?xml version="1.0" encoding="utf-8"?>
<styleSheet xmlns="http://schemas.openxmlformats.org/spreadsheetml/2006/main">
  <numFmts count="3">
    <numFmt numFmtId="164" formatCode="General"/>
    <numFmt numFmtId="165" formatCode="General"/>
    <numFmt numFmtId="166" formatCode="0.0"/>
  </numFmts>
  <fonts count="18">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1"/>
      <color theme="1"/>
      <name val="Arial"/>
      <family val="0"/>
      <charset val="1"/>
    </font>
    <font>
      <i val="true"/>
      <sz val="10"/>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
      <i val="true"/>
      <sz val="1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1F3864"/>
      <name val="Arial"/>
      <family val="0"/>
      <charset val="1"/>
    </font>
    <font>
      <b val="true"/>
      <sz val="12"/>
      <color rgb="FF1F3864"/>
      <name val="Arial"/>
      <family val="0"/>
      <charset val="1"/>
    </font>
  </fonts>
  <fills count="11">
    <fill>
      <patternFill patternType="none"/>
    </fill>
    <fill>
      <patternFill patternType="gray125"/>
    </fill>
    <fill>
      <patternFill patternType="solid">
        <fgColor rgb="FF1F3864"/>
        <bgColor rgb="FF333333"/>
      </patternFill>
    </fill>
    <fill>
      <patternFill patternType="solid">
        <fgColor rgb="FFC00000"/>
        <bgColor rgb="FFFF0000"/>
      </patternFill>
    </fill>
    <fill>
      <patternFill patternType="solid">
        <fgColor rgb="FF808080"/>
        <bgColor rgb="FF878787"/>
      </patternFill>
    </fill>
    <fill>
      <patternFill patternType="solid">
        <fgColor rgb="FF2F5597"/>
        <bgColor rgb="FF1F3864"/>
      </patternFill>
    </fill>
    <fill>
      <patternFill patternType="solid">
        <fgColor rgb="FFFFFF99"/>
        <bgColor rgb="FFFFE699"/>
      </patternFill>
    </fill>
    <fill>
      <patternFill patternType="solid">
        <fgColor rgb="FFFFC000"/>
        <bgColor rgb="FFFF9900"/>
      </patternFill>
    </fill>
    <fill>
      <patternFill patternType="solid">
        <fgColor rgb="FFFF0000"/>
        <bgColor rgb="FFC00000"/>
      </patternFill>
    </fill>
    <fill>
      <patternFill patternType="solid">
        <fgColor rgb="FF92D050"/>
        <bgColor rgb="FFBFBFBF"/>
      </patternFill>
    </fill>
    <fill>
      <patternFill patternType="solid">
        <fgColor rgb="FFFFFF00"/>
        <bgColor rgb="FFFFFF00"/>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bottom" textRotation="9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2" borderId="3" xfId="0" applyFont="true" applyBorder="true" applyAlignment="true" applyProtection="false">
      <alignment horizontal="center" vertical="center" textRotation="90" wrapText="fals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bgColor rgb="FFF8CBAD"/>
        </patternFill>
      </fill>
    </dxf>
    <dxf>
      <fill>
        <patternFill>
          <bgColor rgb="FFFFE699"/>
        </patternFill>
      </fill>
    </dxf>
    <dxf>
      <fill>
        <patternFill>
          <bgColor rgb="FFBDD7EE"/>
        </patternFill>
      </fill>
    </dxf>
    <dxf>
      <font>
        <name val="Arial"/>
        <charset val="1"/>
        <family val="0"/>
        <b val="1"/>
        <color rgb="FFFFFFFF"/>
      </font>
      <fill>
        <patternFill>
          <bgColor rgb="FFFF0000"/>
        </patternFill>
      </fill>
    </dxf>
    <dxf>
      <fill>
        <patternFill>
          <bgColor rgb="FFFFC000"/>
        </patternFill>
      </fill>
    </dxf>
    <dxf>
      <fill>
        <patternFill>
          <bgColor rgb="FFFFFF99"/>
        </patternFill>
      </fill>
    </dxf>
    <dxf>
      <fill>
        <patternFill>
          <bgColor rgb="FF92D050"/>
        </patternFill>
      </fill>
    </dxf>
    <dxf>
      <fill>
        <patternFill>
          <bgColor rgb="FFFFFF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993366"/>
      <rgbColor rgb="FFFFE699"/>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8CBAD"/>
      <rgbColor rgb="FF3366FF"/>
      <rgbColor rgb="FF33CCCC"/>
      <rgbColor rgb="FF92D050"/>
      <rgbColor rgb="FFFFC000"/>
      <rgbColor rgb="FFFF9900"/>
      <rgbColor rgb="FFFF6600"/>
      <rgbColor rgb="FF595959"/>
      <rgbColor rgb="FF878787"/>
      <rgbColor rgb="FF1F3864"/>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Influence / dépendance</a:t>
            </a:r>
          </a:p>
        </c:rich>
      </c:tx>
      <c:overlay val="0"/>
      <c:spPr>
        <a:noFill/>
        <a:ln w="0">
          <a:noFill/>
        </a:ln>
      </c:spPr>
    </c:title>
    <c:autoTitleDeleted val="0"/>
    <c:plotArea>
      <c:scatterChart>
        <c:scatterStyle val="lineMarker"/>
        <c:varyColors val="0"/>
        <c:ser>
          <c:idx val="0"/>
          <c:order val="0"/>
          <c:tx>
            <c:strRef>
              <c:f>"Prix du lait"</c:f>
              <c:strCache>
                <c:ptCount val="1"/>
                <c:pt idx="0">
                  <c:v>Prix du lait</c:v>
                </c:pt>
              </c:strCache>
            </c:strRef>
          </c:tx>
          <c:spPr>
            <a:solidFill>
              <a:srgbClr val="ffffff"/>
            </a:solidFill>
            <a:ln w="47520">
              <a:noFill/>
            </a:ln>
          </c:spPr>
          <c:marker>
            <c:symbol val="circle"/>
            <c:size val="8"/>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'Influence-Dépendance'!$C$5</c:f>
              <c:numCache>
                <c:formatCode>General</c:formatCode>
                <c:ptCount val="1"/>
                <c:pt idx="0">
                  <c:v>10</c:v>
                </c:pt>
              </c:numCache>
            </c:numRef>
          </c:xVal>
          <c:yVal>
            <c:numRef>
              <c:f>'Influence-Dépendance'!$B$5</c:f>
              <c:numCache>
                <c:formatCode>General</c:formatCode>
                <c:ptCount val="1"/>
                <c:pt idx="0">
                  <c:v>4</c:v>
                </c:pt>
              </c:numCache>
            </c:numRef>
          </c:yVal>
          <c:smooth val="1"/>
        </c:ser>
        <c:ser>
          <c:idx val="1"/>
          <c:order val="1"/>
          <c:tx>
            <c:strRef>
              <c:f>"Prix MP agricoles"</c:f>
              <c:strCache>
                <c:ptCount val="1"/>
                <c:pt idx="0">
                  <c:v>Prix MP agricoles</c:v>
                </c:pt>
              </c:strCache>
            </c:strRef>
          </c:tx>
          <c:spPr>
            <a:solidFill>
              <a:srgbClr val="ffffff"/>
            </a:solidFill>
            <a:ln w="47520">
              <a:noFill/>
            </a:ln>
          </c:spPr>
          <c:marker>
            <c:symbol val="circle"/>
            <c:size val="8"/>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'Influence-Dépendance'!$C$6</c:f>
              <c:numCache>
                <c:formatCode>General</c:formatCode>
                <c:ptCount val="1"/>
                <c:pt idx="0">
                  <c:v>7</c:v>
                </c:pt>
              </c:numCache>
            </c:numRef>
          </c:xVal>
          <c:yVal>
            <c:numRef>
              <c:f>'Influence-Dépendance'!$B$6</c:f>
              <c:numCache>
                <c:formatCode>General</c:formatCode>
                <c:ptCount val="1"/>
                <c:pt idx="0">
                  <c:v>2</c:v>
                </c:pt>
              </c:numCache>
            </c:numRef>
          </c:yVal>
          <c:smooth val="1"/>
        </c:ser>
        <c:ser>
          <c:idx val="2"/>
          <c:order val="2"/>
          <c:tx>
            <c:strRef>
              <c:f>"Énergie / carburants"</c:f>
              <c:strCache>
                <c:ptCount val="1"/>
                <c:pt idx="0">
                  <c:v>Énergie / carburants</c:v>
                </c:pt>
              </c:strCache>
            </c:strRef>
          </c:tx>
          <c:spPr>
            <a:solidFill>
              <a:srgbClr val="ffffff"/>
            </a:solidFill>
            <a:ln w="47520">
              <a:noFill/>
            </a:ln>
          </c:spPr>
          <c:marker>
            <c:symbol val="circle"/>
            <c:size val="8"/>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'Influence-Dépendance'!$C$7</c:f>
              <c:numCache>
                <c:formatCode>General</c:formatCode>
                <c:ptCount val="1"/>
                <c:pt idx="0">
                  <c:v>4</c:v>
                </c:pt>
              </c:numCache>
            </c:numRef>
          </c:xVal>
          <c:yVal>
            <c:numRef>
              <c:f>'Influence-Dépendance'!$B$7</c:f>
              <c:numCache>
                <c:formatCode>General</c:formatCode>
                <c:ptCount val="1"/>
                <c:pt idx="0">
                  <c:v>6</c:v>
                </c:pt>
              </c:numCache>
            </c:numRef>
          </c:yVal>
          <c:smooth val="1"/>
        </c:ser>
        <c:ser>
          <c:idx val="3"/>
          <c:order val="3"/>
          <c:tx>
            <c:strRef>
              <c:f>"Emballages"</c:f>
              <c:strCache>
                <c:ptCount val="1"/>
                <c:pt idx="0">
                  <c:v>Emballages</c:v>
                </c:pt>
              </c:strCache>
            </c:strRef>
          </c:tx>
          <c:spPr>
            <a:solidFill>
              <a:srgbClr val="ffffff"/>
            </a:solidFill>
            <a:ln w="47520">
              <a:noFill/>
            </a:ln>
          </c:spPr>
          <c:marker>
            <c:symbol val="circle"/>
            <c:size val="8"/>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'Influence-Dépendance'!$C$8</c:f>
              <c:numCache>
                <c:formatCode>General</c:formatCode>
                <c:ptCount val="1"/>
                <c:pt idx="0">
                  <c:v>4</c:v>
                </c:pt>
              </c:numCache>
            </c:numRef>
          </c:xVal>
          <c:yVal>
            <c:numRef>
              <c:f>'Influence-Dépendance'!$B$8</c:f>
              <c:numCache>
                <c:formatCode>General</c:formatCode>
                <c:ptCount val="1"/>
                <c:pt idx="0">
                  <c:v>1</c:v>
                </c:pt>
              </c:numCache>
            </c:numRef>
          </c:yVal>
          <c:smooth val="1"/>
        </c:ser>
        <c:ser>
          <c:idx val="4"/>
          <c:order val="4"/>
          <c:tx>
            <c:strRef>
              <c:f>"Réchauffement climatique"</c:f>
              <c:strCache>
                <c:ptCount val="1"/>
                <c:pt idx="0">
                  <c:v>Réchauffement climatique</c:v>
                </c:pt>
              </c:strCache>
            </c:strRef>
          </c:tx>
          <c:spPr>
            <a:solidFill>
              <a:srgbClr val="ffffff"/>
            </a:solidFill>
            <a:ln w="47520">
              <a:noFill/>
            </a:ln>
          </c:spPr>
          <c:marker>
            <c:symbol val="circle"/>
            <c:size val="8"/>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'Influence-Dépendance'!$C$9</c:f>
              <c:numCache>
                <c:formatCode>General</c:formatCode>
                <c:ptCount val="1"/>
                <c:pt idx="0">
                  <c:v>0</c:v>
                </c:pt>
              </c:numCache>
            </c:numRef>
          </c:xVal>
          <c:yVal>
            <c:numRef>
              <c:f>'Influence-Dépendance'!$B$9</c:f>
              <c:numCache>
                <c:formatCode>General</c:formatCode>
                <c:ptCount val="1"/>
                <c:pt idx="0">
                  <c:v>10</c:v>
                </c:pt>
              </c:numCache>
            </c:numRef>
          </c:yVal>
          <c:smooth val="1"/>
        </c:ser>
        <c:ser>
          <c:idx val="5"/>
          <c:order val="5"/>
          <c:tx>
            <c:strRef>
              <c:f>"Ressource en eau"</c:f>
              <c:strCache>
                <c:ptCount val="1"/>
                <c:pt idx="0">
                  <c:v>Ressource en eau</c:v>
                </c:pt>
              </c:strCache>
            </c:strRef>
          </c:tx>
          <c:spPr>
            <a:solidFill>
              <a:srgbClr val="ffffff"/>
            </a:solidFill>
            <a:ln w="47520">
              <a:noFill/>
            </a:ln>
          </c:spPr>
          <c:marker>
            <c:symbol val="circle"/>
            <c:size val="8"/>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'Influence-Dépendance'!$C$10</c:f>
              <c:numCache>
                <c:formatCode>General</c:formatCode>
                <c:ptCount val="1"/>
                <c:pt idx="0">
                  <c:v>1</c:v>
                </c:pt>
              </c:numCache>
            </c:numRef>
          </c:xVal>
          <c:yVal>
            <c:numRef>
              <c:f>'Influence-Dépendance'!$B$10</c:f>
              <c:numCache>
                <c:formatCode>General</c:formatCode>
                <c:ptCount val="1"/>
                <c:pt idx="0">
                  <c:v>2</c:v>
                </c:pt>
              </c:numCache>
            </c:numRef>
          </c:yVal>
          <c:smooth val="1"/>
        </c:ser>
        <c:ser>
          <c:idx val="6"/>
          <c:order val="6"/>
          <c:tx>
            <c:strRef>
              <c:f>"Régl. sanitaires"</c:f>
              <c:strCache>
                <c:ptCount val="1"/>
                <c:pt idx="0">
                  <c:v>Régl. sanitaires</c:v>
                </c:pt>
              </c:strCache>
            </c:strRef>
          </c:tx>
          <c:spPr>
            <a:solidFill>
              <a:srgbClr val="ffffff"/>
            </a:solidFill>
            <a:ln w="47520">
              <a:noFill/>
            </a:ln>
          </c:spPr>
          <c:marker>
            <c:symbol val="circle"/>
            <c:size val="8"/>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'Influence-Dépendance'!$C$11</c:f>
              <c:numCache>
                <c:formatCode>General</c:formatCode>
                <c:ptCount val="1"/>
                <c:pt idx="0">
                  <c:v>2</c:v>
                </c:pt>
              </c:numCache>
            </c:numRef>
          </c:xVal>
          <c:yVal>
            <c:numRef>
              <c:f>'Influence-Dépendance'!$B$11</c:f>
              <c:numCache>
                <c:formatCode>General</c:formatCode>
                <c:ptCount val="1"/>
                <c:pt idx="0">
                  <c:v>5</c:v>
                </c:pt>
              </c:numCache>
            </c:numRef>
          </c:yVal>
          <c:smooth val="1"/>
        </c:ser>
        <c:ser>
          <c:idx val="7"/>
          <c:order val="7"/>
          <c:tx>
            <c:strRef>
              <c:f>"Régl. environnementales"</c:f>
              <c:strCache>
                <c:ptCount val="1"/>
                <c:pt idx="0">
                  <c:v>Régl. environnementales</c:v>
                </c:pt>
              </c:strCache>
            </c:strRef>
          </c:tx>
          <c:spPr>
            <a:solidFill>
              <a:srgbClr val="ffffff"/>
            </a:solidFill>
            <a:ln w="47520">
              <a:noFill/>
            </a:ln>
          </c:spPr>
          <c:marker>
            <c:symbol val="circle"/>
            <c:size val="8"/>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'Influence-Dépendance'!$C$12</c:f>
              <c:numCache>
                <c:formatCode>General</c:formatCode>
                <c:ptCount val="1"/>
                <c:pt idx="0">
                  <c:v>3</c:v>
                </c:pt>
              </c:numCache>
            </c:numRef>
          </c:xVal>
          <c:yVal>
            <c:numRef>
              <c:f>'Influence-Dépendance'!$B$12</c:f>
              <c:numCache>
                <c:formatCode>General</c:formatCode>
                <c:ptCount val="1"/>
                <c:pt idx="0">
                  <c:v>7</c:v>
                </c:pt>
              </c:numCache>
            </c:numRef>
          </c:yVal>
          <c:smooth val="1"/>
        </c:ser>
        <c:ser>
          <c:idx val="8"/>
          <c:order val="8"/>
          <c:tx>
            <c:strRef>
              <c:f>"Fiabilité fournisseurs"</c:f>
              <c:strCache>
                <c:ptCount val="1"/>
                <c:pt idx="0">
                  <c:v>Fiabilité fournisseurs</c:v>
                </c:pt>
              </c:strCache>
            </c:strRef>
          </c:tx>
          <c:spPr>
            <a:solidFill>
              <a:srgbClr val="ffffff"/>
            </a:solidFill>
            <a:ln w="47520">
              <a:noFill/>
            </a:ln>
          </c:spPr>
          <c:marker>
            <c:symbol val="circle"/>
            <c:size val="8"/>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'Influence-Dépendance'!$C$13</c:f>
              <c:numCache>
                <c:formatCode>General</c:formatCode>
                <c:ptCount val="1"/>
                <c:pt idx="0">
                  <c:v>8</c:v>
                </c:pt>
              </c:numCache>
            </c:numRef>
          </c:xVal>
          <c:yVal>
            <c:numRef>
              <c:f>'Influence-Dépendance'!$B$13</c:f>
              <c:numCache>
                <c:formatCode>General</c:formatCode>
                <c:ptCount val="1"/>
                <c:pt idx="0">
                  <c:v>3</c:v>
                </c:pt>
              </c:numCache>
            </c:numRef>
          </c:yVal>
          <c:smooth val="1"/>
        </c:ser>
        <c:ser>
          <c:idx val="9"/>
          <c:order val="9"/>
          <c:tx>
            <c:strRef>
              <c:f>"Stabilité géopolitique"</c:f>
              <c:strCache>
                <c:ptCount val="1"/>
                <c:pt idx="0">
                  <c:v>Stabilité géopolitique</c:v>
                </c:pt>
              </c:strCache>
            </c:strRef>
          </c:tx>
          <c:spPr>
            <a:solidFill>
              <a:srgbClr val="ffffff"/>
            </a:solidFill>
            <a:ln w="47520">
              <a:noFill/>
            </a:ln>
          </c:spPr>
          <c:marker>
            <c:symbol val="circle"/>
            <c:size val="8"/>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'Influence-Dépendance'!$C$14</c:f>
              <c:numCache>
                <c:formatCode>General</c:formatCode>
                <c:ptCount val="1"/>
                <c:pt idx="0">
                  <c:v>3</c:v>
                </c:pt>
              </c:numCache>
            </c:numRef>
          </c:xVal>
          <c:yVal>
            <c:numRef>
              <c:f>'Influence-Dépendance'!$B$14</c:f>
              <c:numCache>
                <c:formatCode>General</c:formatCode>
                <c:ptCount val="1"/>
                <c:pt idx="0">
                  <c:v>6</c:v>
                </c:pt>
              </c:numCache>
            </c:numRef>
          </c:yVal>
          <c:smooth val="1"/>
        </c:ser>
        <c:ser>
          <c:idx val="10"/>
          <c:order val="10"/>
          <c:tx>
            <c:strRef>
              <c:f>"Fiabilité logistique"</c:f>
              <c:strCache>
                <c:ptCount val="1"/>
                <c:pt idx="0">
                  <c:v>Fiabilité logistique</c:v>
                </c:pt>
              </c:strCache>
            </c:strRef>
          </c:tx>
          <c:spPr>
            <a:solidFill>
              <a:srgbClr val="ffffff"/>
            </a:solidFill>
            <a:ln w="47520">
              <a:noFill/>
            </a:ln>
          </c:spPr>
          <c:marker>
            <c:symbol val="circle"/>
            <c:size val="8"/>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'Influence-Dépendance'!$C$15</c:f>
              <c:numCache>
                <c:formatCode>General</c:formatCode>
                <c:ptCount val="1"/>
                <c:pt idx="0">
                  <c:v>5</c:v>
                </c:pt>
              </c:numCache>
            </c:numRef>
          </c:xVal>
          <c:yVal>
            <c:numRef>
              <c:f>'Influence-Dépendance'!$B$15</c:f>
              <c:numCache>
                <c:formatCode>General</c:formatCode>
                <c:ptCount val="1"/>
                <c:pt idx="0">
                  <c:v>4</c:v>
                </c:pt>
              </c:numCache>
            </c:numRef>
          </c:yVal>
          <c:smooth val="1"/>
        </c:ser>
        <c:ser>
          <c:idx val="11"/>
          <c:order val="11"/>
          <c:tx>
            <c:strRef>
              <c:f>"Tarifs douaniers"</c:f>
              <c:strCache>
                <c:ptCount val="1"/>
                <c:pt idx="0">
                  <c:v>Tarifs douaniers</c:v>
                </c:pt>
              </c:strCache>
            </c:strRef>
          </c:tx>
          <c:spPr>
            <a:solidFill>
              <a:srgbClr val="ffffff"/>
            </a:solidFill>
            <a:ln w="47520">
              <a:noFill/>
            </a:ln>
          </c:spPr>
          <c:marker>
            <c:symbol val="circle"/>
            <c:size val="8"/>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'Influence-Dépendance'!$C$16</c:f>
              <c:numCache>
                <c:formatCode>General</c:formatCode>
                <c:ptCount val="1"/>
                <c:pt idx="0">
                  <c:v>4</c:v>
                </c:pt>
              </c:numCache>
            </c:numRef>
          </c:xVal>
          <c:yVal>
            <c:numRef>
              <c:f>'Influence-Dépendance'!$B$16</c:f>
              <c:numCache>
                <c:formatCode>General</c:formatCode>
                <c:ptCount val="1"/>
                <c:pt idx="0">
                  <c:v>5</c:v>
                </c:pt>
              </c:numCache>
            </c:numRef>
          </c:yVal>
          <c:smooth val="1"/>
        </c:ser>
        <c:ser>
          <c:idx val="12"/>
          <c:order val="12"/>
          <c:tx>
            <c:strRef>
              <c:f>"Sanctions / compliance"</c:f>
              <c:strCache>
                <c:ptCount val="1"/>
                <c:pt idx="0">
                  <c:v>Sanctions / compliance</c:v>
                </c:pt>
              </c:strCache>
            </c:strRef>
          </c:tx>
          <c:spPr>
            <a:solidFill>
              <a:srgbClr val="ffffff"/>
            </a:solidFill>
            <a:ln w="47520">
              <a:noFill/>
            </a:ln>
          </c:spPr>
          <c:marker>
            <c:symbol val="circle"/>
            <c:size val="8"/>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'Influence-Dépendance'!$C$17</c:f>
              <c:numCache>
                <c:formatCode>General</c:formatCode>
                <c:ptCount val="1"/>
                <c:pt idx="0">
                  <c:v>1</c:v>
                </c:pt>
              </c:numCache>
            </c:numRef>
          </c:xVal>
          <c:yVal>
            <c:numRef>
              <c:f>'Influence-Dépendance'!$B$17</c:f>
              <c:numCache>
                <c:formatCode>General</c:formatCode>
                <c:ptCount val="1"/>
                <c:pt idx="0">
                  <c:v>4</c:v>
                </c:pt>
              </c:numCache>
            </c:numRef>
          </c:yVal>
          <c:smooth val="1"/>
        </c:ser>
        <c:ser>
          <c:idx val="13"/>
          <c:order val="13"/>
          <c:tx>
            <c:strRef>
              <c:f>"Épizooties"</c:f>
              <c:strCache>
                <c:ptCount val="1"/>
                <c:pt idx="0">
                  <c:v>Épizooties</c:v>
                </c:pt>
              </c:strCache>
            </c:strRef>
          </c:tx>
          <c:spPr>
            <a:solidFill>
              <a:srgbClr val="ffffff"/>
            </a:solidFill>
            <a:ln w="47520">
              <a:noFill/>
            </a:ln>
          </c:spPr>
          <c:marker>
            <c:symbol val="circle"/>
            <c:size val="8"/>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'Influence-Dépendance'!$C$18</c:f>
              <c:numCache>
                <c:formatCode>General</c:formatCode>
                <c:ptCount val="1"/>
                <c:pt idx="0">
                  <c:v>1</c:v>
                </c:pt>
              </c:numCache>
            </c:numRef>
          </c:xVal>
          <c:yVal>
            <c:numRef>
              <c:f>'Influence-Dépendance'!$B$18</c:f>
              <c:numCache>
                <c:formatCode>General</c:formatCode>
                <c:ptCount val="1"/>
                <c:pt idx="0">
                  <c:v>6</c:v>
                </c:pt>
              </c:numCache>
            </c:numRef>
          </c:yVal>
          <c:smooth val="1"/>
        </c:ser>
        <c:ser>
          <c:idx val="14"/>
          <c:order val="14"/>
          <c:tx>
            <c:strRef>
              <c:f>"Tendances de conso"</c:f>
              <c:strCache>
                <c:ptCount val="1"/>
                <c:pt idx="0">
                  <c:v>Tendances de conso</c:v>
                </c:pt>
              </c:strCache>
            </c:strRef>
          </c:tx>
          <c:spPr>
            <a:solidFill>
              <a:srgbClr val="ffffff"/>
            </a:solidFill>
            <a:ln w="47520">
              <a:noFill/>
            </a:ln>
          </c:spPr>
          <c:marker>
            <c:symbol val="circle"/>
            <c:size val="8"/>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'Influence-Dépendance'!$C$19</c:f>
              <c:numCache>
                <c:formatCode>General</c:formatCode>
                <c:ptCount val="1"/>
                <c:pt idx="0">
                  <c:v>4</c:v>
                </c:pt>
              </c:numCache>
            </c:numRef>
          </c:xVal>
          <c:yVal>
            <c:numRef>
              <c:f>'Influence-Dépendance'!$B$19</c:f>
              <c:numCache>
                <c:formatCode>General</c:formatCode>
                <c:ptCount val="1"/>
                <c:pt idx="0">
                  <c:v>4</c:v>
                </c:pt>
              </c:numCache>
            </c:numRef>
          </c:yVal>
          <c:smooth val="1"/>
        </c:ser>
        <c:ser>
          <c:idx val="15"/>
          <c:order val="15"/>
          <c:tx>
            <c:strRef>
              <c:f>"Pression distribution"</c:f>
              <c:strCache>
                <c:ptCount val="1"/>
                <c:pt idx="0">
                  <c:v>Pression distribution</c:v>
                </c:pt>
              </c:strCache>
            </c:strRef>
          </c:tx>
          <c:spPr>
            <a:solidFill>
              <a:srgbClr val="ffffff"/>
            </a:solidFill>
            <a:ln w="47520">
              <a:noFill/>
            </a:ln>
          </c:spPr>
          <c:marker>
            <c:symbol val="circle"/>
            <c:size val="8"/>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'Influence-Dépendance'!$C$20</c:f>
              <c:numCache>
                <c:formatCode>General</c:formatCode>
                <c:ptCount val="1"/>
                <c:pt idx="0">
                  <c:v>8</c:v>
                </c:pt>
              </c:numCache>
            </c:numRef>
          </c:xVal>
          <c:yVal>
            <c:numRef>
              <c:f>'Influence-Dépendance'!$B$20</c:f>
              <c:numCache>
                <c:formatCode>General</c:formatCode>
                <c:ptCount val="1"/>
                <c:pt idx="0">
                  <c:v>3</c:v>
                </c:pt>
              </c:numCache>
            </c:numRef>
          </c:yVal>
          <c:smooth val="1"/>
        </c:ser>
        <c:ser>
          <c:idx val="16"/>
          <c:order val="16"/>
          <c:tx>
            <c:strRef>
              <c:f>"Climat social"</c:f>
              <c:strCache>
                <c:ptCount val="1"/>
                <c:pt idx="0">
                  <c:v>Climat social</c:v>
                </c:pt>
              </c:strCache>
            </c:strRef>
          </c:tx>
          <c:spPr>
            <a:solidFill>
              <a:srgbClr val="ffffff"/>
            </a:solidFill>
            <a:ln w="47520">
              <a:noFill/>
            </a:ln>
          </c:spPr>
          <c:marker>
            <c:symbol val="circle"/>
            <c:size val="8"/>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'Influence-Dépendance'!$C$21</c:f>
              <c:numCache>
                <c:formatCode>General</c:formatCode>
                <c:ptCount val="1"/>
                <c:pt idx="0">
                  <c:v>6</c:v>
                </c:pt>
              </c:numCache>
            </c:numRef>
          </c:xVal>
          <c:yVal>
            <c:numRef>
              <c:f>'Influence-Dépendance'!$B$21</c:f>
              <c:numCache>
                <c:formatCode>General</c:formatCode>
                <c:ptCount val="1"/>
                <c:pt idx="0">
                  <c:v>4</c:v>
                </c:pt>
              </c:numCache>
            </c:numRef>
          </c:yVal>
          <c:smooth val="1"/>
        </c:ser>
        <c:ser>
          <c:idx val="17"/>
          <c:order val="17"/>
          <c:tx>
            <c:strRef>
              <c:f>"Cours mondiaux"</c:f>
              <c:strCache>
                <c:ptCount val="1"/>
                <c:pt idx="0">
                  <c:v>Cours mondiaux</c:v>
                </c:pt>
              </c:strCache>
            </c:strRef>
          </c:tx>
          <c:spPr>
            <a:solidFill>
              <a:srgbClr val="ffffff"/>
            </a:solidFill>
            <a:ln w="47520">
              <a:noFill/>
            </a:ln>
          </c:spPr>
          <c:marker>
            <c:symbol val="circle"/>
            <c:size val="8"/>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'Influence-Dépendance'!$C$22</c:f>
              <c:numCache>
                <c:formatCode>General</c:formatCode>
                <c:ptCount val="1"/>
                <c:pt idx="0">
                  <c:v>9</c:v>
                </c:pt>
              </c:numCache>
            </c:numRef>
          </c:xVal>
          <c:yVal>
            <c:numRef>
              <c:f>'Influence-Dépendance'!$B$22</c:f>
              <c:numCache>
                <c:formatCode>General</c:formatCode>
                <c:ptCount val="1"/>
                <c:pt idx="0">
                  <c:v>4</c:v>
                </c:pt>
              </c:numCache>
            </c:numRef>
          </c:yVal>
          <c:smooth val="1"/>
        </c:ser>
        <c:axId val="94101905"/>
        <c:axId val="1870516"/>
      </c:scatterChart>
      <c:valAx>
        <c:axId val="94101905"/>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Dépendance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70516"/>
        <c:crosses val="autoZero"/>
        <c:crossBetween val="midCat"/>
      </c:valAx>
      <c:valAx>
        <c:axId val="187051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Influence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101905"/>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xdr:row>
      <xdr:rowOff>160920</xdr:rowOff>
    </xdr:from>
    <xdr:to>
      <xdr:col>17</xdr:col>
      <xdr:colOff>581760</xdr:colOff>
      <xdr:row>27</xdr:row>
      <xdr:rowOff>78120</xdr:rowOff>
    </xdr:to>
    <xdr:graphicFrame>
      <xdr:nvGraphicFramePr>
        <xdr:cNvPr id="0" name="Chart 1"/>
        <xdr:cNvGraphicFramePr/>
      </xdr:nvGraphicFramePr>
      <xdr:xfrm>
        <a:off x="5686560" y="571680"/>
        <a:ext cx="791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7.35" hidden="false" customHeight="false" outlineLevel="0" collapsed="false">
      <c r="A1" s="1" t="s">
        <v>0</v>
      </c>
      <c r="B1" s="2"/>
    </row>
    <row r="2" customFormat="false" ht="15" hidden="false" customHeight="false" outlineLevel="0" collapsed="false">
      <c r="A2" s="3" t="s">
        <v>1</v>
      </c>
      <c r="B2" s="2"/>
    </row>
    <row r="3" customFormat="false" ht="15" hidden="false" customHeight="false" outlineLevel="0" collapsed="false">
      <c r="A3" s="2"/>
      <c r="B3" s="2"/>
    </row>
    <row r="4" customFormat="false" ht="18" hidden="false" customHeight="true" outlineLevel="0" collapsed="false">
      <c r="A4" s="4" t="s">
        <v>2</v>
      </c>
      <c r="B4" s="5" t="s">
        <v>3</v>
      </c>
    </row>
    <row r="5" customFormat="false" ht="48" hidden="false" customHeight="true" outlineLevel="0" collapsed="false">
      <c r="A5" s="4" t="s">
        <v>4</v>
      </c>
      <c r="B5" s="5" t="s">
        <v>5</v>
      </c>
    </row>
    <row r="6" customFormat="false" ht="79.5" hidden="false" customHeight="true" outlineLevel="0" collapsed="false">
      <c r="A6" s="4" t="s">
        <v>6</v>
      </c>
      <c r="B6" s="5" t="s">
        <v>7</v>
      </c>
    </row>
    <row r="7" customFormat="false" ht="45" hidden="false" customHeight="true" outlineLevel="0" collapsed="false">
      <c r="A7" s="4" t="s">
        <v>8</v>
      </c>
      <c r="B7" s="5" t="s">
        <v>9</v>
      </c>
    </row>
    <row r="8" customFormat="false" ht="79.5" hidden="false" customHeight="true" outlineLevel="0" collapsed="false">
      <c r="A8" s="4" t="s">
        <v>10</v>
      </c>
      <c r="B8" s="5" t="s">
        <v>11</v>
      </c>
    </row>
    <row r="9" customFormat="false" ht="30" hidden="false" customHeight="true" outlineLevel="0" collapsed="false">
      <c r="A9" s="4" t="s">
        <v>12</v>
      </c>
      <c r="B9" s="5" t="s">
        <v>13</v>
      </c>
    </row>
    <row r="10" customFormat="false" ht="18" hidden="false" customHeight="true" outlineLevel="0" collapsed="false">
      <c r="A10" s="4" t="s">
        <v>14</v>
      </c>
      <c r="B10" s="5"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19" min="2" style="0" width="4.5"/>
    <col collapsed="false" customWidth="true" hidden="false" outlineLevel="0" max="22" min="20" style="0" width="11"/>
  </cols>
  <sheetData>
    <row r="1" customFormat="false" ht="17.35" hidden="false" customHeight="false" outlineLevel="0" collapsed="false">
      <c r="A1" s="1" t="s">
        <v>16</v>
      </c>
      <c r="B1" s="2"/>
      <c r="C1" s="2"/>
      <c r="D1" s="2"/>
      <c r="E1" s="2"/>
      <c r="F1" s="2"/>
      <c r="G1" s="2"/>
      <c r="H1" s="2"/>
      <c r="I1" s="2"/>
      <c r="J1" s="2"/>
      <c r="K1" s="2"/>
      <c r="L1" s="2"/>
      <c r="M1" s="2"/>
      <c r="N1" s="2"/>
      <c r="O1" s="2"/>
      <c r="P1" s="2"/>
      <c r="Q1" s="2"/>
      <c r="R1" s="2"/>
      <c r="S1" s="2"/>
      <c r="T1" s="2"/>
      <c r="U1" s="2"/>
      <c r="V1" s="2"/>
    </row>
    <row r="2" customFormat="false" ht="15" hidden="false" customHeight="false" outlineLevel="0" collapsed="false">
      <c r="A2" s="3" t="s">
        <v>17</v>
      </c>
      <c r="B2" s="2"/>
      <c r="C2" s="2"/>
      <c r="D2" s="2"/>
      <c r="E2" s="2"/>
      <c r="F2" s="2"/>
      <c r="G2" s="2"/>
      <c r="H2" s="2"/>
      <c r="I2" s="2"/>
      <c r="J2" s="2"/>
      <c r="K2" s="2"/>
      <c r="L2" s="2"/>
      <c r="M2" s="2"/>
      <c r="N2" s="2"/>
      <c r="O2" s="2"/>
      <c r="P2" s="2"/>
      <c r="Q2" s="2"/>
      <c r="R2" s="2"/>
      <c r="S2" s="2"/>
      <c r="T2" s="2"/>
      <c r="U2" s="2"/>
      <c r="V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row>
    <row r="4" customFormat="false" ht="150" hidden="false" customHeight="true" outlineLevel="0" collapsed="false">
      <c r="A4" s="6" t="s">
        <v>18</v>
      </c>
      <c r="B4" s="7" t="s">
        <v>19</v>
      </c>
      <c r="C4" s="7" t="s">
        <v>20</v>
      </c>
      <c r="D4" s="7" t="s">
        <v>21</v>
      </c>
      <c r="E4" s="7" t="s">
        <v>22</v>
      </c>
      <c r="F4" s="7" t="s">
        <v>23</v>
      </c>
      <c r="G4" s="7" t="s">
        <v>24</v>
      </c>
      <c r="H4" s="7" t="s">
        <v>25</v>
      </c>
      <c r="I4" s="7" t="s">
        <v>26</v>
      </c>
      <c r="J4" s="7" t="s">
        <v>27</v>
      </c>
      <c r="K4" s="7" t="s">
        <v>28</v>
      </c>
      <c r="L4" s="7" t="s">
        <v>29</v>
      </c>
      <c r="M4" s="7" t="s">
        <v>30</v>
      </c>
      <c r="N4" s="7" t="s">
        <v>31</v>
      </c>
      <c r="O4" s="7" t="s">
        <v>32</v>
      </c>
      <c r="P4" s="7" t="s">
        <v>33</v>
      </c>
      <c r="Q4" s="7" t="s">
        <v>34</v>
      </c>
      <c r="R4" s="7" t="s">
        <v>35</v>
      </c>
      <c r="S4" s="7" t="s">
        <v>36</v>
      </c>
      <c r="T4" s="8" t="s">
        <v>37</v>
      </c>
      <c r="U4" s="8" t="s">
        <v>38</v>
      </c>
      <c r="V4" s="8" t="s">
        <v>39</v>
      </c>
    </row>
    <row r="5" customFormat="false" ht="15" hidden="false" customHeight="false" outlineLevel="0" collapsed="false">
      <c r="A5" s="5" t="s">
        <v>40</v>
      </c>
      <c r="B5" s="9"/>
      <c r="C5" s="10"/>
      <c r="D5" s="10"/>
      <c r="E5" s="10"/>
      <c r="F5" s="10"/>
      <c r="G5" s="10"/>
      <c r="H5" s="10"/>
      <c r="I5" s="10"/>
      <c r="J5" s="10" t="s">
        <v>41</v>
      </c>
      <c r="K5" s="10"/>
      <c r="L5" s="10"/>
      <c r="M5" s="10"/>
      <c r="N5" s="10"/>
      <c r="O5" s="10"/>
      <c r="P5" s="10"/>
      <c r="Q5" s="10" t="s">
        <v>41</v>
      </c>
      <c r="R5" s="10" t="s">
        <v>41</v>
      </c>
      <c r="S5" s="10" t="s">
        <v>41</v>
      </c>
      <c r="T5" s="11" t="n">
        <f aca="false">COUNTA(B5:S5)</f>
        <v>4</v>
      </c>
      <c r="U5" s="11" t="n">
        <f aca="false">COUNTA(B5:B22)</f>
        <v>10</v>
      </c>
      <c r="V5" s="11" t="n">
        <f aca="false">SUM(T5:U5)</f>
        <v>14</v>
      </c>
    </row>
    <row r="6" customFormat="false" ht="23.85" hidden="false" customHeight="false" outlineLevel="0" collapsed="false">
      <c r="A6" s="5" t="s">
        <v>42</v>
      </c>
      <c r="B6" s="10"/>
      <c r="C6" s="9"/>
      <c r="D6" s="10"/>
      <c r="E6" s="10"/>
      <c r="F6" s="10"/>
      <c r="G6" s="10"/>
      <c r="H6" s="10"/>
      <c r="I6" s="10"/>
      <c r="J6" s="10"/>
      <c r="K6" s="10"/>
      <c r="L6" s="10"/>
      <c r="M6" s="10"/>
      <c r="N6" s="10"/>
      <c r="O6" s="10"/>
      <c r="P6" s="10"/>
      <c r="Q6" s="10" t="s">
        <v>41</v>
      </c>
      <c r="R6" s="10"/>
      <c r="S6" s="10" t="s">
        <v>41</v>
      </c>
      <c r="T6" s="11" t="n">
        <f aca="false">COUNTA(B6:S6)</f>
        <v>2</v>
      </c>
      <c r="U6" s="11" t="n">
        <f aca="false">COUNTA(C5:C22)</f>
        <v>7</v>
      </c>
      <c r="V6" s="11" t="n">
        <f aca="false">SUM(T6:U6)</f>
        <v>9</v>
      </c>
    </row>
    <row r="7" customFormat="false" ht="15" hidden="false" customHeight="false" outlineLevel="0" collapsed="false">
      <c r="A7" s="5" t="s">
        <v>43</v>
      </c>
      <c r="B7" s="10" t="s">
        <v>41</v>
      </c>
      <c r="C7" s="10" t="s">
        <v>41</v>
      </c>
      <c r="D7" s="9"/>
      <c r="E7" s="10" t="s">
        <v>41</v>
      </c>
      <c r="F7" s="10"/>
      <c r="G7" s="10"/>
      <c r="H7" s="10"/>
      <c r="I7" s="10"/>
      <c r="J7" s="10"/>
      <c r="K7" s="10"/>
      <c r="L7" s="10" t="s">
        <v>41</v>
      </c>
      <c r="M7" s="10"/>
      <c r="N7" s="10"/>
      <c r="O7" s="10"/>
      <c r="P7" s="10"/>
      <c r="Q7" s="10"/>
      <c r="R7" s="10" t="s">
        <v>41</v>
      </c>
      <c r="S7" s="10" t="s">
        <v>41</v>
      </c>
      <c r="T7" s="11" t="n">
        <f aca="false">COUNTA(B7:S7)</f>
        <v>6</v>
      </c>
      <c r="U7" s="11" t="n">
        <f aca="false">COUNTA(D5:D22)</f>
        <v>4</v>
      </c>
      <c r="V7" s="11" t="n">
        <f aca="false">SUM(T7:U7)</f>
        <v>10</v>
      </c>
    </row>
    <row r="8" customFormat="false" ht="15" hidden="false" customHeight="false" outlineLevel="0" collapsed="false">
      <c r="A8" s="5" t="s">
        <v>44</v>
      </c>
      <c r="B8" s="10"/>
      <c r="C8" s="10"/>
      <c r="D8" s="10"/>
      <c r="E8" s="9"/>
      <c r="F8" s="10"/>
      <c r="G8" s="10"/>
      <c r="H8" s="10"/>
      <c r="I8" s="10"/>
      <c r="J8" s="10"/>
      <c r="K8" s="10"/>
      <c r="L8" s="10"/>
      <c r="M8" s="10"/>
      <c r="N8" s="10"/>
      <c r="O8" s="10"/>
      <c r="P8" s="10"/>
      <c r="Q8" s="10" t="s">
        <v>41</v>
      </c>
      <c r="R8" s="10"/>
      <c r="S8" s="10"/>
      <c r="T8" s="11" t="n">
        <f aca="false">COUNTA(B8:S8)</f>
        <v>1</v>
      </c>
      <c r="U8" s="11" t="n">
        <f aca="false">COUNTA(E5:E22)</f>
        <v>4</v>
      </c>
      <c r="V8" s="11" t="n">
        <f aca="false">SUM(T8:U8)</f>
        <v>5</v>
      </c>
    </row>
    <row r="9" customFormat="false" ht="15" hidden="false" customHeight="false" outlineLevel="0" collapsed="false">
      <c r="A9" s="5" t="s">
        <v>45</v>
      </c>
      <c r="B9" s="10" t="s">
        <v>41</v>
      </c>
      <c r="C9" s="10" t="s">
        <v>41</v>
      </c>
      <c r="D9" s="10"/>
      <c r="E9" s="10"/>
      <c r="F9" s="9"/>
      <c r="G9" s="10" t="s">
        <v>41</v>
      </c>
      <c r="H9" s="10"/>
      <c r="I9" s="10" t="s">
        <v>41</v>
      </c>
      <c r="J9" s="10" t="s">
        <v>41</v>
      </c>
      <c r="K9" s="10" t="s">
        <v>41</v>
      </c>
      <c r="L9" s="10" t="s">
        <v>41</v>
      </c>
      <c r="M9" s="10"/>
      <c r="N9" s="10"/>
      <c r="O9" s="10" t="s">
        <v>41</v>
      </c>
      <c r="P9" s="10" t="s">
        <v>41</v>
      </c>
      <c r="Q9" s="10"/>
      <c r="R9" s="10"/>
      <c r="S9" s="10" t="s">
        <v>41</v>
      </c>
      <c r="T9" s="11" t="n">
        <f aca="false">COUNTA(B9:S9)</f>
        <v>10</v>
      </c>
      <c r="U9" s="11" t="n">
        <f aca="false">COUNTA(F5:F22)</f>
        <v>0</v>
      </c>
      <c r="V9" s="11" t="n">
        <f aca="false">SUM(T9:U9)</f>
        <v>10</v>
      </c>
    </row>
    <row r="10" customFormat="false" ht="15" hidden="false" customHeight="false" outlineLevel="0" collapsed="false">
      <c r="A10" s="5" t="s">
        <v>46</v>
      </c>
      <c r="B10" s="10"/>
      <c r="C10" s="10"/>
      <c r="D10" s="10"/>
      <c r="E10" s="10"/>
      <c r="F10" s="10"/>
      <c r="G10" s="9"/>
      <c r="H10" s="10"/>
      <c r="I10" s="10" t="s">
        <v>41</v>
      </c>
      <c r="J10" s="10"/>
      <c r="K10" s="10"/>
      <c r="L10" s="10"/>
      <c r="M10" s="10"/>
      <c r="N10" s="10"/>
      <c r="O10" s="10"/>
      <c r="P10" s="10" t="s">
        <v>41</v>
      </c>
      <c r="Q10" s="10"/>
      <c r="R10" s="10"/>
      <c r="S10" s="10"/>
      <c r="T10" s="11" t="n">
        <f aca="false">COUNTA(B10:S10)</f>
        <v>2</v>
      </c>
      <c r="U10" s="11" t="n">
        <f aca="false">COUNTA(G5:G22)</f>
        <v>1</v>
      </c>
      <c r="V10" s="11" t="n">
        <f aca="false">SUM(T10:U10)</f>
        <v>3</v>
      </c>
    </row>
    <row r="11" customFormat="false" ht="15" hidden="false" customHeight="false" outlineLevel="0" collapsed="false">
      <c r="A11" s="5" t="s">
        <v>47</v>
      </c>
      <c r="B11" s="10" t="s">
        <v>41</v>
      </c>
      <c r="C11" s="10"/>
      <c r="D11" s="10"/>
      <c r="E11" s="10"/>
      <c r="F11" s="10"/>
      <c r="G11" s="10"/>
      <c r="H11" s="9"/>
      <c r="I11" s="10"/>
      <c r="J11" s="10" t="s">
        <v>41</v>
      </c>
      <c r="K11" s="10"/>
      <c r="L11" s="10"/>
      <c r="M11" s="10" t="s">
        <v>41</v>
      </c>
      <c r="N11" s="10"/>
      <c r="O11" s="10"/>
      <c r="P11" s="10" t="s">
        <v>41</v>
      </c>
      <c r="Q11" s="10" t="s">
        <v>41</v>
      </c>
      <c r="R11" s="10"/>
      <c r="S11" s="10"/>
      <c r="T11" s="11" t="n">
        <f aca="false">COUNTA(B11:S11)</f>
        <v>5</v>
      </c>
      <c r="U11" s="11" t="n">
        <f aca="false">COUNTA(H5:H22)</f>
        <v>2</v>
      </c>
      <c r="V11" s="11" t="n">
        <f aca="false">SUM(T11:U11)</f>
        <v>7</v>
      </c>
    </row>
    <row r="12" customFormat="false" ht="23.85" hidden="false" customHeight="false" outlineLevel="0" collapsed="false">
      <c r="A12" s="5" t="s">
        <v>48</v>
      </c>
      <c r="B12" s="10" t="s">
        <v>41</v>
      </c>
      <c r="C12" s="10"/>
      <c r="D12" s="10" t="s">
        <v>41</v>
      </c>
      <c r="E12" s="10" t="s">
        <v>41</v>
      </c>
      <c r="F12" s="10"/>
      <c r="G12" s="10"/>
      <c r="H12" s="10"/>
      <c r="I12" s="9"/>
      <c r="J12" s="10" t="s">
        <v>41</v>
      </c>
      <c r="K12" s="10"/>
      <c r="L12" s="10"/>
      <c r="M12" s="10"/>
      <c r="N12" s="10"/>
      <c r="O12" s="10"/>
      <c r="P12" s="10" t="s">
        <v>41</v>
      </c>
      <c r="Q12" s="10" t="s">
        <v>41</v>
      </c>
      <c r="R12" s="10" t="s">
        <v>41</v>
      </c>
      <c r="S12" s="10"/>
      <c r="T12" s="11" t="n">
        <f aca="false">COUNTA(B12:S12)</f>
        <v>7</v>
      </c>
      <c r="U12" s="11" t="n">
        <f aca="false">COUNTA(I5:I22)</f>
        <v>3</v>
      </c>
      <c r="V12" s="11" t="n">
        <f aca="false">SUM(T12:U12)</f>
        <v>10</v>
      </c>
    </row>
    <row r="13" customFormat="false" ht="15" hidden="false" customHeight="false" outlineLevel="0" collapsed="false">
      <c r="A13" s="5" t="s">
        <v>49</v>
      </c>
      <c r="B13" s="10" t="s">
        <v>41</v>
      </c>
      <c r="C13" s="10"/>
      <c r="D13" s="10"/>
      <c r="E13" s="10"/>
      <c r="F13" s="10"/>
      <c r="G13" s="10"/>
      <c r="H13" s="10"/>
      <c r="I13" s="10"/>
      <c r="J13" s="9"/>
      <c r="K13" s="10"/>
      <c r="L13" s="10"/>
      <c r="M13" s="10"/>
      <c r="N13" s="10"/>
      <c r="O13" s="10"/>
      <c r="P13" s="10"/>
      <c r="Q13" s="10"/>
      <c r="R13" s="10" t="s">
        <v>41</v>
      </c>
      <c r="S13" s="10" t="s">
        <v>41</v>
      </c>
      <c r="T13" s="11" t="n">
        <f aca="false">COUNTA(B13:S13)</f>
        <v>3</v>
      </c>
      <c r="U13" s="11" t="n">
        <f aca="false">COUNTA(J5:J22)</f>
        <v>8</v>
      </c>
      <c r="V13" s="11" t="n">
        <f aca="false">SUM(T13:U13)</f>
        <v>11</v>
      </c>
    </row>
    <row r="14" customFormat="false" ht="15" hidden="false" customHeight="false" outlineLevel="0" collapsed="false">
      <c r="A14" s="5" t="s">
        <v>50</v>
      </c>
      <c r="B14" s="10"/>
      <c r="C14" s="10" t="s">
        <v>41</v>
      </c>
      <c r="D14" s="10" t="s">
        <v>41</v>
      </c>
      <c r="E14" s="10"/>
      <c r="F14" s="10"/>
      <c r="G14" s="10"/>
      <c r="H14" s="10"/>
      <c r="I14" s="10"/>
      <c r="J14" s="10"/>
      <c r="K14" s="9"/>
      <c r="L14" s="10" t="s">
        <v>41</v>
      </c>
      <c r="M14" s="10" t="s">
        <v>41</v>
      </c>
      <c r="N14" s="10" t="s">
        <v>41</v>
      </c>
      <c r="O14" s="10"/>
      <c r="P14" s="10"/>
      <c r="Q14" s="10"/>
      <c r="R14" s="10"/>
      <c r="S14" s="10" t="s">
        <v>41</v>
      </c>
      <c r="T14" s="11" t="n">
        <f aca="false">COUNTA(B14:S14)</f>
        <v>6</v>
      </c>
      <c r="U14" s="11" t="n">
        <f aca="false">COUNTA(K5:K22)</f>
        <v>3</v>
      </c>
      <c r="V14" s="11" t="n">
        <f aca="false">SUM(T14:U14)</f>
        <v>9</v>
      </c>
    </row>
    <row r="15" customFormat="false" ht="15" hidden="false" customHeight="false" outlineLevel="0" collapsed="false">
      <c r="A15" s="5" t="s">
        <v>51</v>
      </c>
      <c r="B15" s="10"/>
      <c r="C15" s="10" t="s">
        <v>41</v>
      </c>
      <c r="D15" s="10" t="s">
        <v>41</v>
      </c>
      <c r="E15" s="10" t="s">
        <v>41</v>
      </c>
      <c r="F15" s="10"/>
      <c r="G15" s="10"/>
      <c r="H15" s="10"/>
      <c r="I15" s="10"/>
      <c r="J15" s="10"/>
      <c r="K15" s="10"/>
      <c r="L15" s="9"/>
      <c r="M15" s="10"/>
      <c r="N15" s="10"/>
      <c r="O15" s="10"/>
      <c r="P15" s="10"/>
      <c r="Q15" s="10"/>
      <c r="R15" s="10"/>
      <c r="S15" s="10" t="s">
        <v>41</v>
      </c>
      <c r="T15" s="11" t="n">
        <f aca="false">COUNTA(B15:S15)</f>
        <v>4</v>
      </c>
      <c r="U15" s="11" t="n">
        <f aca="false">COUNTA(L5:L22)</f>
        <v>5</v>
      </c>
      <c r="V15" s="11" t="n">
        <f aca="false">SUM(T15:U15)</f>
        <v>9</v>
      </c>
    </row>
    <row r="16" customFormat="false" ht="15" hidden="false" customHeight="false" outlineLevel="0" collapsed="false">
      <c r="A16" s="5" t="s">
        <v>52</v>
      </c>
      <c r="B16" s="10"/>
      <c r="C16" s="10" t="s">
        <v>41</v>
      </c>
      <c r="D16" s="10"/>
      <c r="E16" s="10" t="s">
        <v>41</v>
      </c>
      <c r="F16" s="10"/>
      <c r="G16" s="10"/>
      <c r="H16" s="10"/>
      <c r="I16" s="10"/>
      <c r="J16" s="10"/>
      <c r="K16" s="10" t="s">
        <v>41</v>
      </c>
      <c r="L16" s="10"/>
      <c r="M16" s="9"/>
      <c r="N16" s="10"/>
      <c r="O16" s="10"/>
      <c r="P16" s="10"/>
      <c r="Q16" s="10" t="s">
        <v>41</v>
      </c>
      <c r="R16" s="10"/>
      <c r="S16" s="10" t="s">
        <v>41</v>
      </c>
      <c r="T16" s="11" t="n">
        <f aca="false">COUNTA(B16:S16)</f>
        <v>5</v>
      </c>
      <c r="U16" s="11" t="n">
        <f aca="false">COUNTA(M5:M22)</f>
        <v>4</v>
      </c>
      <c r="V16" s="11" t="n">
        <f aca="false">SUM(T16:U16)</f>
        <v>9</v>
      </c>
    </row>
    <row r="17" customFormat="false" ht="15" hidden="false" customHeight="false" outlineLevel="0" collapsed="false">
      <c r="A17" s="5" t="s">
        <v>53</v>
      </c>
      <c r="B17" s="10"/>
      <c r="C17" s="10"/>
      <c r="D17" s="10" t="s">
        <v>41</v>
      </c>
      <c r="E17" s="10"/>
      <c r="F17" s="10"/>
      <c r="G17" s="10"/>
      <c r="H17" s="10"/>
      <c r="I17" s="10"/>
      <c r="J17" s="10"/>
      <c r="K17" s="10" t="s">
        <v>41</v>
      </c>
      <c r="L17" s="10" t="s">
        <v>41</v>
      </c>
      <c r="M17" s="10" t="s">
        <v>41</v>
      </c>
      <c r="N17" s="9"/>
      <c r="O17" s="10"/>
      <c r="P17" s="10"/>
      <c r="Q17" s="10"/>
      <c r="R17" s="10"/>
      <c r="S17" s="10"/>
      <c r="T17" s="11" t="n">
        <f aca="false">COUNTA(B17:S17)</f>
        <v>4</v>
      </c>
      <c r="U17" s="11" t="n">
        <f aca="false">COUNTA(N5:N22)</f>
        <v>1</v>
      </c>
      <c r="V17" s="11" t="n">
        <f aca="false">SUM(T17:U17)</f>
        <v>5</v>
      </c>
    </row>
    <row r="18" customFormat="false" ht="15" hidden="false" customHeight="false" outlineLevel="0" collapsed="false">
      <c r="A18" s="5" t="s">
        <v>54</v>
      </c>
      <c r="B18" s="10" t="s">
        <v>41</v>
      </c>
      <c r="C18" s="10"/>
      <c r="D18" s="10"/>
      <c r="E18" s="10"/>
      <c r="F18" s="10"/>
      <c r="G18" s="10"/>
      <c r="H18" s="10" t="s">
        <v>41</v>
      </c>
      <c r="I18" s="10"/>
      <c r="J18" s="10" t="s">
        <v>41</v>
      </c>
      <c r="K18" s="10"/>
      <c r="L18" s="10"/>
      <c r="M18" s="10" t="s">
        <v>41</v>
      </c>
      <c r="N18" s="10"/>
      <c r="O18" s="9"/>
      <c r="P18" s="10"/>
      <c r="Q18" s="10"/>
      <c r="R18" s="10" t="s">
        <v>41</v>
      </c>
      <c r="S18" s="10" t="s">
        <v>41</v>
      </c>
      <c r="T18" s="11" t="n">
        <f aca="false">COUNTA(B18:S18)</f>
        <v>6</v>
      </c>
      <c r="U18" s="11" t="n">
        <f aca="false">COUNTA(O5:O22)</f>
        <v>1</v>
      </c>
      <c r="V18" s="11" t="n">
        <f aca="false">SUM(T18:U18)</f>
        <v>7</v>
      </c>
    </row>
    <row r="19" customFormat="false" ht="23.85" hidden="false" customHeight="false" outlineLevel="0" collapsed="false">
      <c r="A19" s="5" t="s">
        <v>55</v>
      </c>
      <c r="B19" s="10" t="s">
        <v>41</v>
      </c>
      <c r="C19" s="10" t="s">
        <v>41</v>
      </c>
      <c r="D19" s="10"/>
      <c r="E19" s="10"/>
      <c r="F19" s="10"/>
      <c r="G19" s="10"/>
      <c r="H19" s="10"/>
      <c r="I19" s="10" t="s">
        <v>41</v>
      </c>
      <c r="J19" s="10"/>
      <c r="K19" s="10"/>
      <c r="L19" s="10"/>
      <c r="M19" s="10"/>
      <c r="N19" s="10"/>
      <c r="O19" s="10"/>
      <c r="P19" s="9"/>
      <c r="Q19" s="10" t="s">
        <v>41</v>
      </c>
      <c r="R19" s="10"/>
      <c r="S19" s="10"/>
      <c r="T19" s="11" t="n">
        <f aca="false">COUNTA(B19:S19)</f>
        <v>4</v>
      </c>
      <c r="U19" s="11" t="n">
        <f aca="false">COUNTA(P5:P22)</f>
        <v>4</v>
      </c>
      <c r="V19" s="11" t="n">
        <f aca="false">SUM(T19:U19)</f>
        <v>8</v>
      </c>
    </row>
    <row r="20" customFormat="false" ht="15" hidden="false" customHeight="false" outlineLevel="0" collapsed="false">
      <c r="A20" s="5" t="s">
        <v>56</v>
      </c>
      <c r="B20" s="10" t="s">
        <v>41</v>
      </c>
      <c r="C20" s="10"/>
      <c r="D20" s="10"/>
      <c r="E20" s="10"/>
      <c r="F20" s="10"/>
      <c r="G20" s="10"/>
      <c r="H20" s="10"/>
      <c r="I20" s="10"/>
      <c r="J20" s="10" t="s">
        <v>41</v>
      </c>
      <c r="K20" s="10"/>
      <c r="L20" s="10"/>
      <c r="M20" s="10"/>
      <c r="N20" s="10"/>
      <c r="O20" s="10"/>
      <c r="P20" s="10"/>
      <c r="Q20" s="9"/>
      <c r="R20" s="10" t="s">
        <v>41</v>
      </c>
      <c r="S20" s="10"/>
      <c r="T20" s="11" t="n">
        <f aca="false">COUNTA(B20:S20)</f>
        <v>3</v>
      </c>
      <c r="U20" s="11" t="n">
        <f aca="false">COUNTA(Q5:Q22)</f>
        <v>8</v>
      </c>
      <c r="V20" s="11" t="n">
        <f aca="false">SUM(T20:U20)</f>
        <v>11</v>
      </c>
    </row>
    <row r="21" customFormat="false" ht="15" hidden="false" customHeight="false" outlineLevel="0" collapsed="false">
      <c r="A21" s="5" t="s">
        <v>57</v>
      </c>
      <c r="B21" s="10" t="s">
        <v>41</v>
      </c>
      <c r="C21" s="10"/>
      <c r="D21" s="10"/>
      <c r="E21" s="10"/>
      <c r="F21" s="10"/>
      <c r="G21" s="10"/>
      <c r="H21" s="10" t="s">
        <v>41</v>
      </c>
      <c r="I21" s="10"/>
      <c r="J21" s="10" t="s">
        <v>41</v>
      </c>
      <c r="K21" s="10"/>
      <c r="L21" s="10" t="s">
        <v>41</v>
      </c>
      <c r="M21" s="10"/>
      <c r="N21" s="10"/>
      <c r="O21" s="10"/>
      <c r="P21" s="10"/>
      <c r="Q21" s="10"/>
      <c r="R21" s="9"/>
      <c r="S21" s="10"/>
      <c r="T21" s="11" t="n">
        <f aca="false">COUNTA(B21:S21)</f>
        <v>4</v>
      </c>
      <c r="U21" s="11" t="n">
        <f aca="false">COUNTA(R5:R22)</f>
        <v>6</v>
      </c>
      <c r="V21" s="11" t="n">
        <f aca="false">SUM(T21:U21)</f>
        <v>10</v>
      </c>
    </row>
    <row r="22" customFormat="false" ht="23.85" hidden="false" customHeight="false" outlineLevel="0" collapsed="false">
      <c r="A22" s="5" t="s">
        <v>58</v>
      </c>
      <c r="B22" s="10" t="s">
        <v>41</v>
      </c>
      <c r="C22" s="10" t="s">
        <v>41</v>
      </c>
      <c r="D22" s="10"/>
      <c r="E22" s="10"/>
      <c r="F22" s="10"/>
      <c r="G22" s="10"/>
      <c r="H22" s="10"/>
      <c r="I22" s="10"/>
      <c r="J22" s="10" t="s">
        <v>41</v>
      </c>
      <c r="K22" s="10"/>
      <c r="L22" s="10"/>
      <c r="M22" s="10"/>
      <c r="N22" s="10"/>
      <c r="O22" s="10"/>
      <c r="P22" s="10"/>
      <c r="Q22" s="10" t="s">
        <v>41</v>
      </c>
      <c r="R22" s="10"/>
      <c r="S22" s="9"/>
      <c r="T22" s="11" t="n">
        <f aca="false">COUNTA(B22:S22)</f>
        <v>4</v>
      </c>
      <c r="U22" s="11" t="n">
        <f aca="false">COUNTA(S5:S22)</f>
        <v>9</v>
      </c>
      <c r="V22" s="11" t="n">
        <f aca="false">SUM(T22:U22)</f>
        <v>13</v>
      </c>
    </row>
    <row r="23" customFormat="false" ht="15" hidden="false" customHeight="false" outlineLevel="0" collapsed="false">
      <c r="A23" s="8" t="s">
        <v>59</v>
      </c>
      <c r="B23" s="11" t="n">
        <f aca="false">COUNTA(B5:B22)</f>
        <v>10</v>
      </c>
      <c r="C23" s="11" t="n">
        <f aca="false">COUNTA(C5:C22)</f>
        <v>7</v>
      </c>
      <c r="D23" s="11" t="n">
        <f aca="false">COUNTA(D5:D22)</f>
        <v>4</v>
      </c>
      <c r="E23" s="11" t="n">
        <f aca="false">COUNTA(E5:E22)</f>
        <v>4</v>
      </c>
      <c r="F23" s="11" t="n">
        <f aca="false">COUNTA(F5:F22)</f>
        <v>0</v>
      </c>
      <c r="G23" s="11" t="n">
        <f aca="false">COUNTA(G5:G22)</f>
        <v>1</v>
      </c>
      <c r="H23" s="11" t="n">
        <f aca="false">COUNTA(H5:H22)</f>
        <v>2</v>
      </c>
      <c r="I23" s="11" t="n">
        <f aca="false">COUNTA(I5:I22)</f>
        <v>3</v>
      </c>
      <c r="J23" s="11" t="n">
        <f aca="false">COUNTA(J5:J22)</f>
        <v>8</v>
      </c>
      <c r="K23" s="11" t="n">
        <f aca="false">COUNTA(K5:K22)</f>
        <v>3</v>
      </c>
      <c r="L23" s="11" t="n">
        <f aca="false">COUNTA(L5:L22)</f>
        <v>5</v>
      </c>
      <c r="M23" s="11" t="n">
        <f aca="false">COUNTA(M5:M22)</f>
        <v>4</v>
      </c>
      <c r="N23" s="11" t="n">
        <f aca="false">COUNTA(N5:N22)</f>
        <v>1</v>
      </c>
      <c r="O23" s="11" t="n">
        <f aca="false">COUNTA(O5:O22)</f>
        <v>1</v>
      </c>
      <c r="P23" s="11" t="n">
        <f aca="false">COUNTA(P5:P22)</f>
        <v>4</v>
      </c>
      <c r="Q23" s="11" t="n">
        <f aca="false">COUNTA(Q5:Q22)</f>
        <v>8</v>
      </c>
      <c r="R23" s="11" t="n">
        <f aca="false">COUNTA(R5:R22)</f>
        <v>6</v>
      </c>
      <c r="S23" s="11" t="n">
        <f aca="false">COUNTA(S5:S22)</f>
        <v>9</v>
      </c>
      <c r="T23" s="2"/>
      <c r="U23" s="2"/>
      <c r="V23" s="2"/>
    </row>
    <row r="24" customFormat="false" ht="1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row>
    <row r="25" customFormat="false" ht="15" hidden="false" customHeight="false" outlineLevel="0" collapsed="false">
      <c r="A25" s="12" t="s">
        <v>60</v>
      </c>
      <c r="B25" s="13" t="str">
        <f aca="false">IF(SUM(T5:T22)=SUM(B23:S23),"OK","Écart")</f>
        <v>OK</v>
      </c>
      <c r="C25" s="2"/>
      <c r="D25" s="2"/>
      <c r="E25" s="2"/>
      <c r="F25" s="2"/>
      <c r="G25" s="2"/>
      <c r="H25" s="2"/>
      <c r="I25" s="2"/>
      <c r="J25" s="2"/>
      <c r="K25" s="2"/>
      <c r="L25" s="2"/>
      <c r="M25" s="2"/>
      <c r="N25" s="2"/>
      <c r="O25" s="2"/>
      <c r="P25" s="2"/>
      <c r="Q25" s="2"/>
      <c r="R25" s="2"/>
      <c r="S25" s="2"/>
      <c r="T25" s="2"/>
      <c r="U25" s="2"/>
      <c r="V2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2"/>
    <col collapsed="false" customWidth="true" hidden="false" outlineLevel="0" max="4" min="4" style="0" width="22"/>
  </cols>
  <sheetData>
    <row r="1" customFormat="false" ht="17.35" hidden="false" customHeight="false" outlineLevel="0" collapsed="false">
      <c r="A1" s="1" t="s">
        <v>61</v>
      </c>
      <c r="B1" s="2"/>
      <c r="C1" s="2"/>
      <c r="D1" s="2"/>
    </row>
    <row r="2" customFormat="false" ht="15" hidden="false" customHeight="false" outlineLevel="0" collapsed="false">
      <c r="A2" s="3" t="s">
        <v>62</v>
      </c>
      <c r="B2" s="2"/>
      <c r="C2" s="2"/>
      <c r="D2" s="2"/>
    </row>
    <row r="3" customFormat="false" ht="15" hidden="false" customHeight="false" outlineLevel="0" collapsed="false">
      <c r="A3" s="2"/>
      <c r="B3" s="2"/>
      <c r="C3" s="2"/>
      <c r="D3" s="2"/>
    </row>
    <row r="4" customFormat="false" ht="15" hidden="false" customHeight="false" outlineLevel="0" collapsed="false">
      <c r="A4" s="6" t="s">
        <v>63</v>
      </c>
      <c r="B4" s="6" t="s">
        <v>64</v>
      </c>
      <c r="C4" s="6" t="s">
        <v>65</v>
      </c>
      <c r="D4" s="6" t="s">
        <v>66</v>
      </c>
    </row>
    <row r="5" customFormat="false" ht="15" hidden="false" customHeight="false" outlineLevel="0" collapsed="false">
      <c r="A5" s="14" t="s">
        <v>19</v>
      </c>
      <c r="B5" s="15" t="n">
        <f aca="false">'Matrice de dépendance'!T5</f>
        <v>4</v>
      </c>
      <c r="C5" s="15" t="n">
        <f aca="false">'Matrice de dépendance'!U5</f>
        <v>10</v>
      </c>
      <c r="D5" s="16" t="str">
        <f aca="false">IF(AND(B5&gt;=$B$25,C5&lt;$C$25),"Motrice (entrée)",IF(AND(B5&gt;=$B$25,C5&gt;=$C$25),"Relais (enjeu)",IF(C5&gt;=$C$25,"Dépendante (résultat)","Autonome")))</f>
        <v>Dépendante (résultat)</v>
      </c>
    </row>
    <row r="6" customFormat="false" ht="15" hidden="false" customHeight="false" outlineLevel="0" collapsed="false">
      <c r="A6" s="14" t="s">
        <v>20</v>
      </c>
      <c r="B6" s="15" t="n">
        <f aca="false">'Matrice de dépendance'!T6</f>
        <v>2</v>
      </c>
      <c r="C6" s="15" t="n">
        <f aca="false">'Matrice de dépendance'!U6</f>
        <v>7</v>
      </c>
      <c r="D6" s="16" t="str">
        <f aca="false">IF(AND(B6&gt;=$B$25,C6&lt;$C$25),"Motrice (entrée)",IF(AND(B6&gt;=$B$25,C6&gt;=$C$25),"Relais (enjeu)",IF(C6&gt;=$C$25,"Dépendante (résultat)","Autonome")))</f>
        <v>Dépendante (résultat)</v>
      </c>
    </row>
    <row r="7" customFormat="false" ht="15" hidden="false" customHeight="false" outlineLevel="0" collapsed="false">
      <c r="A7" s="14" t="s">
        <v>21</v>
      </c>
      <c r="B7" s="15" t="n">
        <f aca="false">'Matrice de dépendance'!T7</f>
        <v>6</v>
      </c>
      <c r="C7" s="15" t="n">
        <f aca="false">'Matrice de dépendance'!U7</f>
        <v>4</v>
      </c>
      <c r="D7" s="16" t="str">
        <f aca="false">IF(AND(B7&gt;=$B$25,C7&lt;$C$25),"Motrice (entrée)",IF(AND(B7&gt;=$B$25,C7&gt;=$C$25),"Relais (enjeu)",IF(C7&gt;=$C$25,"Dépendante (résultat)","Autonome")))</f>
        <v>Motrice (entrée)</v>
      </c>
    </row>
    <row r="8" customFormat="false" ht="15" hidden="false" customHeight="false" outlineLevel="0" collapsed="false">
      <c r="A8" s="14" t="s">
        <v>22</v>
      </c>
      <c r="B8" s="15" t="n">
        <f aca="false">'Matrice de dépendance'!T8</f>
        <v>1</v>
      </c>
      <c r="C8" s="15" t="n">
        <f aca="false">'Matrice de dépendance'!U8</f>
        <v>4</v>
      </c>
      <c r="D8" s="16" t="str">
        <f aca="false">IF(AND(B8&gt;=$B$25,C8&lt;$C$25),"Motrice (entrée)",IF(AND(B8&gt;=$B$25,C8&gt;=$C$25),"Relais (enjeu)",IF(C8&gt;=$C$25,"Dépendante (résultat)","Autonome")))</f>
        <v>Autonome</v>
      </c>
    </row>
    <row r="9" customFormat="false" ht="15" hidden="false" customHeight="false" outlineLevel="0" collapsed="false">
      <c r="A9" s="14" t="s">
        <v>23</v>
      </c>
      <c r="B9" s="15" t="n">
        <f aca="false">'Matrice de dépendance'!T9</f>
        <v>10</v>
      </c>
      <c r="C9" s="15" t="n">
        <f aca="false">'Matrice de dépendance'!U9</f>
        <v>0</v>
      </c>
      <c r="D9" s="16" t="str">
        <f aca="false">IF(AND(B9&gt;=$B$25,C9&lt;$C$25),"Motrice (entrée)",IF(AND(B9&gt;=$B$25,C9&gt;=$C$25),"Relais (enjeu)",IF(C9&gt;=$C$25,"Dépendante (résultat)","Autonome")))</f>
        <v>Motrice (entrée)</v>
      </c>
    </row>
    <row r="10" customFormat="false" ht="15" hidden="false" customHeight="false" outlineLevel="0" collapsed="false">
      <c r="A10" s="14" t="s">
        <v>24</v>
      </c>
      <c r="B10" s="15" t="n">
        <f aca="false">'Matrice de dépendance'!T10</f>
        <v>2</v>
      </c>
      <c r="C10" s="15" t="n">
        <f aca="false">'Matrice de dépendance'!U10</f>
        <v>1</v>
      </c>
      <c r="D10" s="16" t="str">
        <f aca="false">IF(AND(B10&gt;=$B$25,C10&lt;$C$25),"Motrice (entrée)",IF(AND(B10&gt;=$B$25,C10&gt;=$C$25),"Relais (enjeu)",IF(C10&gt;=$C$25,"Dépendante (résultat)","Autonome")))</f>
        <v>Autonome</v>
      </c>
    </row>
    <row r="11" customFormat="false" ht="15" hidden="false" customHeight="false" outlineLevel="0" collapsed="false">
      <c r="A11" s="14" t="s">
        <v>25</v>
      </c>
      <c r="B11" s="15" t="n">
        <f aca="false">'Matrice de dépendance'!T11</f>
        <v>5</v>
      </c>
      <c r="C11" s="15" t="n">
        <f aca="false">'Matrice de dépendance'!U11</f>
        <v>2</v>
      </c>
      <c r="D11" s="16" t="str">
        <f aca="false">IF(AND(B11&gt;=$B$25,C11&lt;$C$25),"Motrice (entrée)",IF(AND(B11&gt;=$B$25,C11&gt;=$C$25),"Relais (enjeu)",IF(C11&gt;=$C$25,"Dépendante (résultat)","Autonome")))</f>
        <v>Motrice (entrée)</v>
      </c>
    </row>
    <row r="12" customFormat="false" ht="15" hidden="false" customHeight="false" outlineLevel="0" collapsed="false">
      <c r="A12" s="14" t="s">
        <v>26</v>
      </c>
      <c r="B12" s="15" t="n">
        <f aca="false">'Matrice de dépendance'!T12</f>
        <v>7</v>
      </c>
      <c r="C12" s="15" t="n">
        <f aca="false">'Matrice de dépendance'!U12</f>
        <v>3</v>
      </c>
      <c r="D12" s="16" t="str">
        <f aca="false">IF(AND(B12&gt;=$B$25,C12&lt;$C$25),"Motrice (entrée)",IF(AND(B12&gt;=$B$25,C12&gt;=$C$25),"Relais (enjeu)",IF(C12&gt;=$C$25,"Dépendante (résultat)","Autonome")))</f>
        <v>Motrice (entrée)</v>
      </c>
    </row>
    <row r="13" customFormat="false" ht="15" hidden="false" customHeight="false" outlineLevel="0" collapsed="false">
      <c r="A13" s="14" t="s">
        <v>27</v>
      </c>
      <c r="B13" s="15" t="n">
        <f aca="false">'Matrice de dépendance'!T13</f>
        <v>3</v>
      </c>
      <c r="C13" s="15" t="n">
        <f aca="false">'Matrice de dépendance'!U13</f>
        <v>8</v>
      </c>
      <c r="D13" s="16" t="str">
        <f aca="false">IF(AND(B13&gt;=$B$25,C13&lt;$C$25),"Motrice (entrée)",IF(AND(B13&gt;=$B$25,C13&gt;=$C$25),"Relais (enjeu)",IF(C13&gt;=$C$25,"Dépendante (résultat)","Autonome")))</f>
        <v>Dépendante (résultat)</v>
      </c>
    </row>
    <row r="14" customFormat="false" ht="15" hidden="false" customHeight="false" outlineLevel="0" collapsed="false">
      <c r="A14" s="14" t="s">
        <v>28</v>
      </c>
      <c r="B14" s="15" t="n">
        <f aca="false">'Matrice de dépendance'!T14</f>
        <v>6</v>
      </c>
      <c r="C14" s="15" t="n">
        <f aca="false">'Matrice de dépendance'!U14</f>
        <v>3</v>
      </c>
      <c r="D14" s="16" t="str">
        <f aca="false">IF(AND(B14&gt;=$B$25,C14&lt;$C$25),"Motrice (entrée)",IF(AND(B14&gt;=$B$25,C14&gt;=$C$25),"Relais (enjeu)",IF(C14&gt;=$C$25,"Dépendante (résultat)","Autonome")))</f>
        <v>Motrice (entrée)</v>
      </c>
    </row>
    <row r="15" customFormat="false" ht="15" hidden="false" customHeight="false" outlineLevel="0" collapsed="false">
      <c r="A15" s="14" t="s">
        <v>29</v>
      </c>
      <c r="B15" s="15" t="n">
        <f aca="false">'Matrice de dépendance'!T15</f>
        <v>4</v>
      </c>
      <c r="C15" s="15" t="n">
        <f aca="false">'Matrice de dépendance'!U15</f>
        <v>5</v>
      </c>
      <c r="D15" s="16" t="str">
        <f aca="false">IF(AND(B15&gt;=$B$25,C15&lt;$C$25),"Motrice (entrée)",IF(AND(B15&gt;=$B$25,C15&gt;=$C$25),"Relais (enjeu)",IF(C15&gt;=$C$25,"Dépendante (résultat)","Autonome")))</f>
        <v>Dépendante (résultat)</v>
      </c>
    </row>
    <row r="16" customFormat="false" ht="15" hidden="false" customHeight="false" outlineLevel="0" collapsed="false">
      <c r="A16" s="14" t="s">
        <v>30</v>
      </c>
      <c r="B16" s="15" t="n">
        <f aca="false">'Matrice de dépendance'!T16</f>
        <v>5</v>
      </c>
      <c r="C16" s="15" t="n">
        <f aca="false">'Matrice de dépendance'!U16</f>
        <v>4</v>
      </c>
      <c r="D16" s="16" t="str">
        <f aca="false">IF(AND(B16&gt;=$B$25,C16&lt;$C$25),"Motrice (entrée)",IF(AND(B16&gt;=$B$25,C16&gt;=$C$25),"Relais (enjeu)",IF(C16&gt;=$C$25,"Dépendante (résultat)","Autonome")))</f>
        <v>Motrice (entrée)</v>
      </c>
    </row>
    <row r="17" customFormat="false" ht="15" hidden="false" customHeight="false" outlineLevel="0" collapsed="false">
      <c r="A17" s="14" t="s">
        <v>31</v>
      </c>
      <c r="B17" s="15" t="n">
        <f aca="false">'Matrice de dépendance'!T17</f>
        <v>4</v>
      </c>
      <c r="C17" s="15" t="n">
        <f aca="false">'Matrice de dépendance'!U17</f>
        <v>1</v>
      </c>
      <c r="D17" s="16" t="str">
        <f aca="false">IF(AND(B17&gt;=$B$25,C17&lt;$C$25),"Motrice (entrée)",IF(AND(B17&gt;=$B$25,C17&gt;=$C$25),"Relais (enjeu)",IF(C17&gt;=$C$25,"Dépendante (résultat)","Autonome")))</f>
        <v>Autonome</v>
      </c>
    </row>
    <row r="18" customFormat="false" ht="15" hidden="false" customHeight="false" outlineLevel="0" collapsed="false">
      <c r="A18" s="14" t="s">
        <v>32</v>
      </c>
      <c r="B18" s="15" t="n">
        <f aca="false">'Matrice de dépendance'!T18</f>
        <v>6</v>
      </c>
      <c r="C18" s="15" t="n">
        <f aca="false">'Matrice de dépendance'!U18</f>
        <v>1</v>
      </c>
      <c r="D18" s="16" t="str">
        <f aca="false">IF(AND(B18&gt;=$B$25,C18&lt;$C$25),"Motrice (entrée)",IF(AND(B18&gt;=$B$25,C18&gt;=$C$25),"Relais (enjeu)",IF(C18&gt;=$C$25,"Dépendante (résultat)","Autonome")))</f>
        <v>Motrice (entrée)</v>
      </c>
    </row>
    <row r="19" customFormat="false" ht="15" hidden="false" customHeight="false" outlineLevel="0" collapsed="false">
      <c r="A19" s="14" t="s">
        <v>33</v>
      </c>
      <c r="B19" s="15" t="n">
        <f aca="false">'Matrice de dépendance'!T19</f>
        <v>4</v>
      </c>
      <c r="C19" s="15" t="n">
        <f aca="false">'Matrice de dépendance'!U19</f>
        <v>4</v>
      </c>
      <c r="D19" s="16" t="str">
        <f aca="false">IF(AND(B19&gt;=$B$25,C19&lt;$C$25),"Motrice (entrée)",IF(AND(B19&gt;=$B$25,C19&gt;=$C$25),"Relais (enjeu)",IF(C19&gt;=$C$25,"Dépendante (résultat)","Autonome")))</f>
        <v>Autonome</v>
      </c>
    </row>
    <row r="20" customFormat="false" ht="15" hidden="false" customHeight="false" outlineLevel="0" collapsed="false">
      <c r="A20" s="14" t="s">
        <v>34</v>
      </c>
      <c r="B20" s="15" t="n">
        <f aca="false">'Matrice de dépendance'!T20</f>
        <v>3</v>
      </c>
      <c r="C20" s="15" t="n">
        <f aca="false">'Matrice de dépendance'!U20</f>
        <v>8</v>
      </c>
      <c r="D20" s="16" t="str">
        <f aca="false">IF(AND(B20&gt;=$B$25,C20&lt;$C$25),"Motrice (entrée)",IF(AND(B20&gt;=$B$25,C20&gt;=$C$25),"Relais (enjeu)",IF(C20&gt;=$C$25,"Dépendante (résultat)","Autonome")))</f>
        <v>Dépendante (résultat)</v>
      </c>
    </row>
    <row r="21" customFormat="false" ht="15" hidden="false" customHeight="false" outlineLevel="0" collapsed="false">
      <c r="A21" s="14" t="s">
        <v>35</v>
      </c>
      <c r="B21" s="15" t="n">
        <f aca="false">'Matrice de dépendance'!T21</f>
        <v>4</v>
      </c>
      <c r="C21" s="15" t="n">
        <f aca="false">'Matrice de dépendance'!U21</f>
        <v>6</v>
      </c>
      <c r="D21" s="16" t="str">
        <f aca="false">IF(AND(B21&gt;=$B$25,C21&lt;$C$25),"Motrice (entrée)",IF(AND(B21&gt;=$B$25,C21&gt;=$C$25),"Relais (enjeu)",IF(C21&gt;=$C$25,"Dépendante (résultat)","Autonome")))</f>
        <v>Dépendante (résultat)</v>
      </c>
    </row>
    <row r="22" customFormat="false" ht="15" hidden="false" customHeight="false" outlineLevel="0" collapsed="false">
      <c r="A22" s="14" t="s">
        <v>36</v>
      </c>
      <c r="B22" s="15" t="n">
        <f aca="false">'Matrice de dépendance'!T22</f>
        <v>4</v>
      </c>
      <c r="C22" s="15" t="n">
        <f aca="false">'Matrice de dépendance'!U22</f>
        <v>9</v>
      </c>
      <c r="D22" s="16" t="str">
        <f aca="false">IF(AND(B22&gt;=$B$25,C22&lt;$C$25),"Motrice (entrée)",IF(AND(B22&gt;=$B$25,C22&gt;=$C$25),"Relais (enjeu)",IF(C22&gt;=$C$25,"Dépendante (résultat)","Autonome")))</f>
        <v>Dépendante (résultat)</v>
      </c>
    </row>
    <row r="23" customFormat="false" ht="15" hidden="false" customHeight="false" outlineLevel="0" collapsed="false">
      <c r="A23" s="2"/>
      <c r="B23" s="2"/>
      <c r="C23" s="2"/>
      <c r="D23" s="2"/>
    </row>
    <row r="24" customFormat="false" ht="15" hidden="false" customHeight="false" outlineLevel="0" collapsed="false">
      <c r="A24" s="2"/>
      <c r="B24" s="2"/>
      <c r="C24" s="2"/>
      <c r="D24" s="2"/>
    </row>
    <row r="25" customFormat="false" ht="15" hidden="false" customHeight="false" outlineLevel="0" collapsed="false">
      <c r="A25" s="13" t="s">
        <v>67</v>
      </c>
      <c r="B25" s="17" t="n">
        <f aca="false">AVERAGE(B5:B22)</f>
        <v>4.44444444444445</v>
      </c>
      <c r="C25" s="17" t="n">
        <f aca="false">AVERAGE(C5:C22)</f>
        <v>4.44444444444445</v>
      </c>
      <c r="D25" s="2"/>
    </row>
    <row r="26" customFormat="false" ht="15" hidden="false" customHeight="false" outlineLevel="0" collapsed="false">
      <c r="A26" s="2"/>
      <c r="B26" s="2"/>
      <c r="C26" s="2"/>
      <c r="D26" s="2"/>
    </row>
    <row r="27" customFormat="false" ht="15" hidden="false" customHeight="false" outlineLevel="0" collapsed="false">
      <c r="A27" s="13" t="s">
        <v>68</v>
      </c>
      <c r="B27" s="18" t="s">
        <v>69</v>
      </c>
      <c r="C27" s="2"/>
      <c r="D27" s="2"/>
    </row>
    <row r="28" customFormat="false" ht="15" hidden="false" customHeight="false" outlineLevel="0" collapsed="false">
      <c r="A28" s="13" t="s">
        <v>70</v>
      </c>
      <c r="B28" s="18" t="s">
        <v>71</v>
      </c>
      <c r="C28" s="2"/>
      <c r="D28" s="2"/>
    </row>
    <row r="29" customFormat="false" ht="15" hidden="false" customHeight="false" outlineLevel="0" collapsed="false">
      <c r="A29" s="13" t="s">
        <v>72</v>
      </c>
      <c r="B29" s="18" t="s">
        <v>73</v>
      </c>
      <c r="C29" s="2"/>
      <c r="D29" s="2"/>
    </row>
    <row r="30" customFormat="false" ht="15" hidden="false" customHeight="false" outlineLevel="0" collapsed="false">
      <c r="A30" s="13" t="s">
        <v>74</v>
      </c>
      <c r="B30" s="18" t="s">
        <v>75</v>
      </c>
      <c r="C30" s="2"/>
      <c r="D30" s="2"/>
    </row>
  </sheetData>
  <conditionalFormatting sqref="D5:D22">
    <cfRule type="expression" priority="2" aboveAverage="0" equalAverage="0" bottom="0" percent="0" rank="0" text="" dxfId="0">
      <formula>LEFT(D5,6)="Relais"</formula>
    </cfRule>
    <cfRule type="expression" priority="3" aboveAverage="0" equalAverage="0" bottom="0" percent="0" rank="0" text="" dxfId="1">
      <formula>LEFT(D5,7)="Motrice"</formula>
    </cfRule>
    <cfRule type="expression" priority="4" aboveAverage="0" equalAverage="0" bottom="0" percent="0" rank="0" text="" dxfId="2">
      <formula>LEFT(D5,10)="Dépendante"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0"/>
    <col collapsed="false" customWidth="true" hidden="false" outlineLevel="0" max="3" min="3" style="0" width="9"/>
    <col collapsed="false" customWidth="true" hidden="false" outlineLevel="0" max="4" min="4" style="0" width="8"/>
    <col collapsed="false" customWidth="true" hidden="false" outlineLevel="0" max="5" min="5" style="0" width="7"/>
    <col collapsed="false" customWidth="true" hidden="false" outlineLevel="0" max="6" min="6" style="0" width="11"/>
    <col collapsed="false" customWidth="true" hidden="false" outlineLevel="0" max="7" min="7" style="0" width="60"/>
    <col collapsed="false" customWidth="true" hidden="false" outlineLevel="0" max="9" min="8" style="0" width="5"/>
    <col collapsed="false" customWidth="true" hidden="false" outlineLevel="0" max="14" min="10" style="0" width="7"/>
  </cols>
  <sheetData>
    <row r="1" customFormat="false" ht="17.35" hidden="false" customHeight="false" outlineLevel="0" collapsed="false">
      <c r="A1" s="1" t="s">
        <v>76</v>
      </c>
      <c r="B1" s="2"/>
      <c r="C1" s="2"/>
      <c r="D1" s="2"/>
      <c r="E1" s="2"/>
      <c r="F1" s="2"/>
      <c r="G1" s="2"/>
      <c r="H1" s="2"/>
      <c r="I1" s="2"/>
      <c r="J1" s="2"/>
      <c r="K1" s="2"/>
      <c r="L1" s="2"/>
      <c r="M1" s="2"/>
      <c r="N1" s="2"/>
    </row>
    <row r="2" customFormat="false" ht="15" hidden="false" customHeight="false" outlineLevel="0" collapsed="false">
      <c r="A2" s="3" t="s">
        <v>77</v>
      </c>
      <c r="B2" s="2"/>
      <c r="C2" s="2"/>
      <c r="D2" s="2"/>
      <c r="E2" s="2"/>
      <c r="F2" s="2"/>
      <c r="G2" s="2"/>
      <c r="H2" s="2"/>
      <c r="I2" s="2"/>
      <c r="J2" s="2"/>
      <c r="K2" s="2"/>
      <c r="L2" s="2"/>
      <c r="M2" s="2"/>
      <c r="N2" s="2"/>
    </row>
    <row r="3" customFormat="false" ht="15" hidden="false" customHeight="false" outlineLevel="0" collapsed="false">
      <c r="A3" s="2"/>
      <c r="B3" s="2"/>
      <c r="C3" s="2"/>
      <c r="D3" s="2"/>
      <c r="E3" s="2"/>
      <c r="F3" s="2"/>
      <c r="G3" s="2"/>
      <c r="H3" s="2"/>
      <c r="I3" s="19" t="s">
        <v>78</v>
      </c>
      <c r="J3" s="2"/>
      <c r="K3" s="2"/>
      <c r="L3" s="2"/>
      <c r="M3" s="2"/>
      <c r="N3" s="2"/>
    </row>
    <row r="4" customFormat="false" ht="15" hidden="false" customHeight="true" outlineLevel="0" collapsed="false">
      <c r="A4" s="6" t="s">
        <v>63</v>
      </c>
      <c r="B4" s="6" t="s">
        <v>79</v>
      </c>
      <c r="C4" s="6" t="s">
        <v>80</v>
      </c>
      <c r="D4" s="6" t="s">
        <v>81</v>
      </c>
      <c r="E4" s="6" t="s">
        <v>82</v>
      </c>
      <c r="F4" s="6" t="s">
        <v>83</v>
      </c>
      <c r="G4" s="6" t="s">
        <v>84</v>
      </c>
      <c r="H4" s="2"/>
      <c r="I4" s="2"/>
      <c r="J4" s="20" t="s">
        <v>80</v>
      </c>
      <c r="K4" s="20"/>
      <c r="L4" s="20"/>
      <c r="M4" s="20"/>
      <c r="N4" s="20"/>
    </row>
    <row r="5" customFormat="false" ht="23.85" hidden="false" customHeight="false" outlineLevel="0" collapsed="false">
      <c r="A5" s="5" t="s">
        <v>40</v>
      </c>
      <c r="B5" s="10" t="n">
        <v>4</v>
      </c>
      <c r="C5" s="10" t="n">
        <v>5</v>
      </c>
      <c r="D5" s="11" t="n">
        <f aca="false">B5*C5</f>
        <v>20</v>
      </c>
      <c r="E5" s="21" t="n">
        <f aca="false">RANK(D5,$D$5:$D$22)</f>
        <v>1</v>
      </c>
      <c r="F5" s="11" t="str">
        <f aca="false">IF(D5&gt;=15,"Critique",IF(D5&gt;=10,"Élevé",IF(D5&gt;=5,"Modéré","Faible")))</f>
        <v>Critique</v>
      </c>
      <c r="G5" s="5" t="s">
        <v>85</v>
      </c>
      <c r="H5" s="2"/>
      <c r="I5" s="2"/>
      <c r="J5" s="22" t="n">
        <v>1</v>
      </c>
      <c r="K5" s="22" t="n">
        <v>2</v>
      </c>
      <c r="L5" s="22" t="n">
        <v>3</v>
      </c>
      <c r="M5" s="22" t="n">
        <v>4</v>
      </c>
      <c r="N5" s="22" t="n">
        <v>5</v>
      </c>
    </row>
    <row r="6" customFormat="false" ht="23.85" hidden="false" customHeight="false" outlineLevel="0" collapsed="false">
      <c r="A6" s="5" t="s">
        <v>42</v>
      </c>
      <c r="B6" s="10" t="n">
        <v>4</v>
      </c>
      <c r="C6" s="10" t="n">
        <v>4</v>
      </c>
      <c r="D6" s="11" t="n">
        <f aca="false">B6*C6</f>
        <v>16</v>
      </c>
      <c r="E6" s="21" t="n">
        <f aca="false">RANK(D6,$D$5:$D$22)</f>
        <v>3</v>
      </c>
      <c r="F6" s="11" t="str">
        <f aca="false">IF(D6&gt;=15,"Critique",IF(D6&gt;=10,"Élevé",IF(D6&gt;=5,"Modéré","Faible")))</f>
        <v>Critique</v>
      </c>
      <c r="G6" s="5" t="s">
        <v>86</v>
      </c>
      <c r="H6" s="23" t="s">
        <v>79</v>
      </c>
      <c r="I6" s="22" t="n">
        <v>5</v>
      </c>
      <c r="J6" s="11" t="n">
        <f aca="false">J$5*$I6</f>
        <v>5</v>
      </c>
      <c r="K6" s="11" t="n">
        <f aca="false">K$5*$I6</f>
        <v>10</v>
      </c>
      <c r="L6" s="11" t="n">
        <f aca="false">L$5*$I6</f>
        <v>15</v>
      </c>
      <c r="M6" s="11" t="n">
        <f aca="false">M$5*$I6</f>
        <v>20</v>
      </c>
      <c r="N6" s="11" t="n">
        <f aca="false">N$5*$I6</f>
        <v>25</v>
      </c>
    </row>
    <row r="7" customFormat="false" ht="23.85" hidden="false" customHeight="false" outlineLevel="0" collapsed="false">
      <c r="A7" s="5" t="s">
        <v>43</v>
      </c>
      <c r="B7" s="10" t="n">
        <v>4</v>
      </c>
      <c r="C7" s="10" t="n">
        <v>4</v>
      </c>
      <c r="D7" s="11" t="n">
        <f aca="false">B7*C7</f>
        <v>16</v>
      </c>
      <c r="E7" s="21" t="n">
        <f aca="false">RANK(D7,$D$5:$D$22)</f>
        <v>3</v>
      </c>
      <c r="F7" s="11" t="str">
        <f aca="false">IF(D7&gt;=15,"Critique",IF(D7&gt;=10,"Élevé",IF(D7&gt;=5,"Modéré","Faible")))</f>
        <v>Critique</v>
      </c>
      <c r="G7" s="5" t="s">
        <v>87</v>
      </c>
      <c r="H7" s="23"/>
      <c r="I7" s="22" t="n">
        <v>4</v>
      </c>
      <c r="J7" s="11" t="n">
        <f aca="false">J$5*$I7</f>
        <v>4</v>
      </c>
      <c r="K7" s="11" t="n">
        <f aca="false">K$5*$I7</f>
        <v>8</v>
      </c>
      <c r="L7" s="11" t="n">
        <f aca="false">L$5*$I7</f>
        <v>12</v>
      </c>
      <c r="M7" s="11" t="n">
        <f aca="false">M$5*$I7</f>
        <v>16</v>
      </c>
      <c r="N7" s="11" t="n">
        <f aca="false">N$5*$I7</f>
        <v>20</v>
      </c>
    </row>
    <row r="8" customFormat="false" ht="23.85" hidden="false" customHeight="false" outlineLevel="0" collapsed="false">
      <c r="A8" s="5" t="s">
        <v>44</v>
      </c>
      <c r="B8" s="10" t="n">
        <v>3</v>
      </c>
      <c r="C8" s="10" t="n">
        <v>4</v>
      </c>
      <c r="D8" s="11" t="n">
        <f aca="false">B8*C8</f>
        <v>12</v>
      </c>
      <c r="E8" s="21" t="n">
        <f aca="false">RANK(D8,$D$5:$D$22)</f>
        <v>9</v>
      </c>
      <c r="F8" s="11" t="str">
        <f aca="false">IF(D8&gt;=15,"Critique",IF(D8&gt;=10,"Élevé",IF(D8&gt;=5,"Modéré","Faible")))</f>
        <v>Élevé</v>
      </c>
      <c r="G8" s="5" t="s">
        <v>88</v>
      </c>
      <c r="H8" s="23"/>
      <c r="I8" s="22" t="n">
        <v>3</v>
      </c>
      <c r="J8" s="11" t="n">
        <f aca="false">J$5*$I8</f>
        <v>3</v>
      </c>
      <c r="K8" s="11" t="n">
        <f aca="false">K$5*$I8</f>
        <v>6</v>
      </c>
      <c r="L8" s="11" t="n">
        <f aca="false">L$5*$I8</f>
        <v>9</v>
      </c>
      <c r="M8" s="11" t="n">
        <f aca="false">M$5*$I8</f>
        <v>12</v>
      </c>
      <c r="N8" s="11" t="n">
        <f aca="false">N$5*$I8</f>
        <v>15</v>
      </c>
    </row>
    <row r="9" customFormat="false" ht="23.85" hidden="false" customHeight="false" outlineLevel="0" collapsed="false">
      <c r="A9" s="5" t="s">
        <v>45</v>
      </c>
      <c r="B9" s="10" t="n">
        <v>5</v>
      </c>
      <c r="C9" s="10" t="n">
        <v>4</v>
      </c>
      <c r="D9" s="11" t="n">
        <f aca="false">B9*C9</f>
        <v>20</v>
      </c>
      <c r="E9" s="21" t="n">
        <f aca="false">RANK(D9,$D$5:$D$22)</f>
        <v>1</v>
      </c>
      <c r="F9" s="11" t="str">
        <f aca="false">IF(D9&gt;=15,"Critique",IF(D9&gt;=10,"Élevé",IF(D9&gt;=5,"Modéré","Faible")))</f>
        <v>Critique</v>
      </c>
      <c r="G9" s="5" t="s">
        <v>89</v>
      </c>
      <c r="H9" s="23"/>
      <c r="I9" s="22" t="n">
        <v>2</v>
      </c>
      <c r="J9" s="11" t="n">
        <f aca="false">J$5*$I9</f>
        <v>2</v>
      </c>
      <c r="K9" s="11" t="n">
        <f aca="false">K$5*$I9</f>
        <v>4</v>
      </c>
      <c r="L9" s="11" t="n">
        <f aca="false">L$5*$I9</f>
        <v>6</v>
      </c>
      <c r="M9" s="11" t="n">
        <f aca="false">M$5*$I9</f>
        <v>8</v>
      </c>
      <c r="N9" s="11" t="n">
        <f aca="false">N$5*$I9</f>
        <v>10</v>
      </c>
    </row>
    <row r="10" customFormat="false" ht="23.85" hidden="false" customHeight="false" outlineLevel="0" collapsed="false">
      <c r="A10" s="5" t="s">
        <v>46</v>
      </c>
      <c r="B10" s="10" t="n">
        <v>3</v>
      </c>
      <c r="C10" s="10" t="n">
        <v>5</v>
      </c>
      <c r="D10" s="11" t="n">
        <f aca="false">B10*C10</f>
        <v>15</v>
      </c>
      <c r="E10" s="21" t="n">
        <f aca="false">RANK(D10,$D$5:$D$22)</f>
        <v>8</v>
      </c>
      <c r="F10" s="11" t="str">
        <f aca="false">IF(D10&gt;=15,"Critique",IF(D10&gt;=10,"Élevé",IF(D10&gt;=5,"Modéré","Faible")))</f>
        <v>Critique</v>
      </c>
      <c r="G10" s="5" t="s">
        <v>90</v>
      </c>
      <c r="H10" s="23"/>
      <c r="I10" s="22" t="n">
        <v>1</v>
      </c>
      <c r="J10" s="11" t="n">
        <f aca="false">J$5*$I10</f>
        <v>1</v>
      </c>
      <c r="K10" s="11" t="n">
        <f aca="false">K$5*$I10</f>
        <v>2</v>
      </c>
      <c r="L10" s="11" t="n">
        <f aca="false">L$5*$I10</f>
        <v>3</v>
      </c>
      <c r="M10" s="11" t="n">
        <f aca="false">M$5*$I10</f>
        <v>4</v>
      </c>
      <c r="N10" s="11" t="n">
        <f aca="false">N$5*$I10</f>
        <v>5</v>
      </c>
    </row>
    <row r="11" customFormat="false" ht="23.85" hidden="false" customHeight="false" outlineLevel="0" collapsed="false">
      <c r="A11" s="5" t="s">
        <v>47</v>
      </c>
      <c r="B11" s="10" t="n">
        <v>2</v>
      </c>
      <c r="C11" s="10" t="n">
        <v>5</v>
      </c>
      <c r="D11" s="11" t="n">
        <f aca="false">B11*C11</f>
        <v>10</v>
      </c>
      <c r="E11" s="21" t="n">
        <f aca="false">RANK(D11,$D$5:$D$22)</f>
        <v>15</v>
      </c>
      <c r="F11" s="11" t="str">
        <f aca="false">IF(D11&gt;=15,"Critique",IF(D11&gt;=10,"Élevé",IF(D11&gt;=5,"Modéré","Faible")))</f>
        <v>Élevé</v>
      </c>
      <c r="G11" s="5" t="s">
        <v>91</v>
      </c>
      <c r="H11" s="2"/>
      <c r="I11" s="2"/>
      <c r="J11" s="2"/>
      <c r="K11" s="2"/>
      <c r="L11" s="2"/>
      <c r="M11" s="2"/>
      <c r="N11" s="2"/>
    </row>
    <row r="12" customFormat="false" ht="23.85" hidden="false" customHeight="false" outlineLevel="0" collapsed="false">
      <c r="A12" s="5" t="s">
        <v>48</v>
      </c>
      <c r="B12" s="10" t="n">
        <v>4</v>
      </c>
      <c r="C12" s="10" t="n">
        <v>3</v>
      </c>
      <c r="D12" s="11" t="n">
        <f aca="false">B12*C12</f>
        <v>12</v>
      </c>
      <c r="E12" s="21" t="n">
        <f aca="false">RANK(D12,$D$5:$D$22)</f>
        <v>9</v>
      </c>
      <c r="F12" s="11" t="str">
        <f aca="false">IF(D12&gt;=15,"Critique",IF(D12&gt;=10,"Élevé",IF(D12&gt;=5,"Modéré","Faible")))</f>
        <v>Élevé</v>
      </c>
      <c r="G12" s="5" t="s">
        <v>92</v>
      </c>
      <c r="H12" s="2"/>
      <c r="I12" s="2"/>
      <c r="J12" s="2"/>
      <c r="K12" s="2"/>
      <c r="L12" s="2"/>
      <c r="M12" s="2"/>
      <c r="N12" s="2"/>
    </row>
    <row r="13" customFormat="false" ht="23.85" hidden="false" customHeight="false" outlineLevel="0" collapsed="false">
      <c r="A13" s="5" t="s">
        <v>49</v>
      </c>
      <c r="B13" s="10" t="n">
        <v>4</v>
      </c>
      <c r="C13" s="10" t="n">
        <v>4</v>
      </c>
      <c r="D13" s="11" t="n">
        <f aca="false">B13*C13</f>
        <v>16</v>
      </c>
      <c r="E13" s="21" t="n">
        <f aca="false">RANK(D13,$D$5:$D$22)</f>
        <v>3</v>
      </c>
      <c r="F13" s="11" t="str">
        <f aca="false">IF(D13&gt;=15,"Critique",IF(D13&gt;=10,"Élevé",IF(D13&gt;=5,"Modéré","Faible")))</f>
        <v>Critique</v>
      </c>
      <c r="G13" s="5" t="s">
        <v>93</v>
      </c>
      <c r="H13" s="2"/>
      <c r="I13" s="19" t="s">
        <v>94</v>
      </c>
      <c r="J13" s="2"/>
      <c r="K13" s="2"/>
      <c r="L13" s="2"/>
      <c r="M13" s="2"/>
      <c r="N13" s="2"/>
    </row>
    <row r="14" customFormat="false" ht="23.85" hidden="false" customHeight="true" outlineLevel="0" collapsed="false">
      <c r="A14" s="5" t="s">
        <v>50</v>
      </c>
      <c r="B14" s="10" t="n">
        <v>3</v>
      </c>
      <c r="C14" s="10" t="n">
        <v>4</v>
      </c>
      <c r="D14" s="11" t="n">
        <f aca="false">B14*C14</f>
        <v>12</v>
      </c>
      <c r="E14" s="21" t="n">
        <f aca="false">RANK(D14,$D$5:$D$22)</f>
        <v>9</v>
      </c>
      <c r="F14" s="11" t="str">
        <f aca="false">IF(D14&gt;=15,"Critique",IF(D14&gt;=10,"Élevé",IF(D14&gt;=5,"Modéré","Faible")))</f>
        <v>Élevé</v>
      </c>
      <c r="G14" s="5" t="s">
        <v>95</v>
      </c>
      <c r="H14" s="2"/>
      <c r="I14" s="2"/>
      <c r="J14" s="20" t="s">
        <v>80</v>
      </c>
      <c r="K14" s="20"/>
      <c r="L14" s="20"/>
      <c r="M14" s="20"/>
      <c r="N14" s="20"/>
    </row>
    <row r="15" customFormat="false" ht="23.85" hidden="false" customHeight="false" outlineLevel="0" collapsed="false">
      <c r="A15" s="5" t="s">
        <v>51</v>
      </c>
      <c r="B15" s="10" t="n">
        <v>3</v>
      </c>
      <c r="C15" s="10" t="n">
        <v>3</v>
      </c>
      <c r="D15" s="11" t="n">
        <f aca="false">B15*C15</f>
        <v>9</v>
      </c>
      <c r="E15" s="21" t="n">
        <f aca="false">RANK(D15,$D$5:$D$22)</f>
        <v>16</v>
      </c>
      <c r="F15" s="11" t="str">
        <f aca="false">IF(D15&gt;=15,"Critique",IF(D15&gt;=10,"Élevé",IF(D15&gt;=5,"Modéré","Faible")))</f>
        <v>Modéré</v>
      </c>
      <c r="G15" s="5" t="s">
        <v>96</v>
      </c>
      <c r="H15" s="2"/>
      <c r="I15" s="2"/>
      <c r="J15" s="22" t="n">
        <v>1</v>
      </c>
      <c r="K15" s="22" t="n">
        <v>2</v>
      </c>
      <c r="L15" s="22" t="n">
        <v>3</v>
      </c>
      <c r="M15" s="22" t="n">
        <v>4</v>
      </c>
      <c r="N15" s="22" t="n">
        <v>5</v>
      </c>
    </row>
    <row r="16" customFormat="false" ht="23.85" hidden="false" customHeight="false" outlineLevel="0" collapsed="false">
      <c r="A16" s="5" t="s">
        <v>52</v>
      </c>
      <c r="B16" s="10" t="n">
        <v>4</v>
      </c>
      <c r="C16" s="10" t="n">
        <v>3</v>
      </c>
      <c r="D16" s="11" t="n">
        <f aca="false">B16*C16</f>
        <v>12</v>
      </c>
      <c r="E16" s="21" t="n">
        <f aca="false">RANK(D16,$D$5:$D$22)</f>
        <v>9</v>
      </c>
      <c r="F16" s="11" t="str">
        <f aca="false">IF(D16&gt;=15,"Critique",IF(D16&gt;=10,"Élevé",IF(D16&gt;=5,"Modéré","Faible")))</f>
        <v>Élevé</v>
      </c>
      <c r="G16" s="5" t="s">
        <v>97</v>
      </c>
      <c r="H16" s="23" t="s">
        <v>79</v>
      </c>
      <c r="I16" s="22" t="n">
        <v>5</v>
      </c>
      <c r="J16" s="24" t="str">
        <f aca="false">IF(COUNTIFS($B$5:$B$22,$I16,$C$5:$C$22,J$15)=0,"",COUNTIFS($B$5:$B$22,$I16,$C$5:$C$22,J$15))</f>
        <v/>
      </c>
      <c r="K16" s="25" t="str">
        <f aca="false">IF(COUNTIFS($B$5:$B$22,$I16,$C$5:$C$22,K$15)=0,"",COUNTIFS($B$5:$B$22,$I16,$C$5:$C$22,K$15))</f>
        <v/>
      </c>
      <c r="L16" s="26" t="str">
        <f aca="false">IF(COUNTIFS($B$5:$B$22,$I16,$C$5:$C$22,L$15)=0,"",COUNTIFS($B$5:$B$22,$I16,$C$5:$C$22,L$15))</f>
        <v/>
      </c>
      <c r="M16" s="26" t="n">
        <f aca="false">IF(COUNTIFS($B$5:$B$22,$I16,$C$5:$C$22,M$15)=0,"",COUNTIFS($B$5:$B$22,$I16,$C$5:$C$22,M$15))</f>
        <v>1</v>
      </c>
      <c r="N16" s="26" t="str">
        <f aca="false">IF(COUNTIFS($B$5:$B$22,$I16,$C$5:$C$22,N$15)=0,"",COUNTIFS($B$5:$B$22,$I16,$C$5:$C$22,N$15))</f>
        <v/>
      </c>
    </row>
    <row r="17" customFormat="false" ht="23.85" hidden="false" customHeight="false" outlineLevel="0" collapsed="false">
      <c r="A17" s="5" t="s">
        <v>53</v>
      </c>
      <c r="B17" s="10" t="n">
        <v>2</v>
      </c>
      <c r="C17" s="10" t="n">
        <v>4</v>
      </c>
      <c r="D17" s="11" t="n">
        <f aca="false">B17*C17</f>
        <v>8</v>
      </c>
      <c r="E17" s="21" t="n">
        <f aca="false">RANK(D17,$D$5:$D$22)</f>
        <v>18</v>
      </c>
      <c r="F17" s="11" t="str">
        <f aca="false">IF(D17&gt;=15,"Critique",IF(D17&gt;=10,"Élevé",IF(D17&gt;=5,"Modéré","Faible")))</f>
        <v>Modéré</v>
      </c>
      <c r="G17" s="5" t="s">
        <v>98</v>
      </c>
      <c r="H17" s="23"/>
      <c r="I17" s="22" t="n">
        <v>4</v>
      </c>
      <c r="J17" s="27" t="str">
        <f aca="false">IF(COUNTIFS($B$5:$B$22,$I17,$C$5:$C$22,J$15)=0,"",COUNTIFS($B$5:$B$22,$I17,$C$5:$C$22,J$15))</f>
        <v/>
      </c>
      <c r="K17" s="24" t="str">
        <f aca="false">IF(COUNTIFS($B$5:$B$22,$I17,$C$5:$C$22,K$15)=0,"",COUNTIFS($B$5:$B$22,$I17,$C$5:$C$22,K$15))</f>
        <v/>
      </c>
      <c r="L17" s="25" t="n">
        <f aca="false">IF(COUNTIFS($B$5:$B$22,$I17,$C$5:$C$22,L$15)=0,"",COUNTIFS($B$5:$B$22,$I17,$C$5:$C$22,L$15))</f>
        <v>3</v>
      </c>
      <c r="M17" s="26" t="n">
        <f aca="false">IF(COUNTIFS($B$5:$B$22,$I17,$C$5:$C$22,M$15)=0,"",COUNTIFS($B$5:$B$22,$I17,$C$5:$C$22,M$15))</f>
        <v>5</v>
      </c>
      <c r="N17" s="26" t="n">
        <f aca="false">IF(COUNTIFS($B$5:$B$22,$I17,$C$5:$C$22,N$15)=0,"",COUNTIFS($B$5:$B$22,$I17,$C$5:$C$22,N$15))</f>
        <v>1</v>
      </c>
    </row>
    <row r="18" customFormat="false" ht="23.85" hidden="false" customHeight="false" outlineLevel="0" collapsed="false">
      <c r="A18" s="5" t="s">
        <v>54</v>
      </c>
      <c r="B18" s="10" t="n">
        <v>3</v>
      </c>
      <c r="C18" s="10" t="n">
        <v>4</v>
      </c>
      <c r="D18" s="11" t="n">
        <f aca="false">B18*C18</f>
        <v>12</v>
      </c>
      <c r="E18" s="21" t="n">
        <f aca="false">RANK(D18,$D$5:$D$22)</f>
        <v>9</v>
      </c>
      <c r="F18" s="11" t="str">
        <f aca="false">IF(D18&gt;=15,"Critique",IF(D18&gt;=10,"Élevé",IF(D18&gt;=5,"Modéré","Faible")))</f>
        <v>Élevé</v>
      </c>
      <c r="G18" s="5" t="s">
        <v>99</v>
      </c>
      <c r="H18" s="23"/>
      <c r="I18" s="22" t="n">
        <v>3</v>
      </c>
      <c r="J18" s="27" t="str">
        <f aca="false">IF(COUNTIFS($B$5:$B$22,$I18,$C$5:$C$22,J$15)=0,"",COUNTIFS($B$5:$B$22,$I18,$C$5:$C$22,J$15))</f>
        <v/>
      </c>
      <c r="K18" s="24" t="str">
        <f aca="false">IF(COUNTIFS($B$5:$B$22,$I18,$C$5:$C$22,K$15)=0,"",COUNTIFS($B$5:$B$22,$I18,$C$5:$C$22,K$15))</f>
        <v/>
      </c>
      <c r="L18" s="24" t="n">
        <f aca="false">IF(COUNTIFS($B$5:$B$22,$I18,$C$5:$C$22,L$15)=0,"",COUNTIFS($B$5:$B$22,$I18,$C$5:$C$22,L$15))</f>
        <v>2</v>
      </c>
      <c r="M18" s="25" t="n">
        <f aca="false">IF(COUNTIFS($B$5:$B$22,$I18,$C$5:$C$22,M$15)=0,"",COUNTIFS($B$5:$B$22,$I18,$C$5:$C$22,M$15))</f>
        <v>3</v>
      </c>
      <c r="N18" s="26" t="n">
        <f aca="false">IF(COUNTIFS($B$5:$B$22,$I18,$C$5:$C$22,N$15)=0,"",COUNTIFS($B$5:$B$22,$I18,$C$5:$C$22,N$15))</f>
        <v>1</v>
      </c>
    </row>
    <row r="19" customFormat="false" ht="23.85" hidden="false" customHeight="false" outlineLevel="0" collapsed="false">
      <c r="A19" s="5" t="s">
        <v>55</v>
      </c>
      <c r="B19" s="10" t="n">
        <v>4</v>
      </c>
      <c r="C19" s="10" t="n">
        <v>3</v>
      </c>
      <c r="D19" s="11" t="n">
        <f aca="false">B19*C19</f>
        <v>12</v>
      </c>
      <c r="E19" s="21" t="n">
        <f aca="false">RANK(D19,$D$5:$D$22)</f>
        <v>9</v>
      </c>
      <c r="F19" s="11" t="str">
        <f aca="false">IF(D19&gt;=15,"Critique",IF(D19&gt;=10,"Élevé",IF(D19&gt;=5,"Modéré","Faible")))</f>
        <v>Élevé</v>
      </c>
      <c r="G19" s="5" t="s">
        <v>100</v>
      </c>
      <c r="H19" s="23"/>
      <c r="I19" s="22" t="n">
        <v>2</v>
      </c>
      <c r="J19" s="27" t="str">
        <f aca="false">IF(COUNTIFS($B$5:$B$22,$I19,$C$5:$C$22,J$15)=0,"",COUNTIFS($B$5:$B$22,$I19,$C$5:$C$22,J$15))</f>
        <v/>
      </c>
      <c r="K19" s="27" t="str">
        <f aca="false">IF(COUNTIFS($B$5:$B$22,$I19,$C$5:$C$22,K$15)=0,"",COUNTIFS($B$5:$B$22,$I19,$C$5:$C$22,K$15))</f>
        <v/>
      </c>
      <c r="L19" s="24" t="str">
        <f aca="false">IF(COUNTIFS($B$5:$B$22,$I19,$C$5:$C$22,L$15)=0,"",COUNTIFS($B$5:$B$22,$I19,$C$5:$C$22,L$15))</f>
        <v/>
      </c>
      <c r="M19" s="24" t="n">
        <f aca="false">IF(COUNTIFS($B$5:$B$22,$I19,$C$5:$C$22,M$15)=0,"",COUNTIFS($B$5:$B$22,$I19,$C$5:$C$22,M$15))</f>
        <v>1</v>
      </c>
      <c r="N19" s="25" t="n">
        <f aca="false">IF(COUNTIFS($B$5:$B$22,$I19,$C$5:$C$22,N$15)=0,"",COUNTIFS($B$5:$B$22,$I19,$C$5:$C$22,N$15))</f>
        <v>1</v>
      </c>
    </row>
    <row r="20" customFormat="false" ht="23.85" hidden="false" customHeight="false" outlineLevel="0" collapsed="false">
      <c r="A20" s="5" t="s">
        <v>56</v>
      </c>
      <c r="B20" s="10" t="n">
        <v>4</v>
      </c>
      <c r="C20" s="10" t="n">
        <v>4</v>
      </c>
      <c r="D20" s="11" t="n">
        <f aca="false">B20*C20</f>
        <v>16</v>
      </c>
      <c r="E20" s="21" t="n">
        <f aca="false">RANK(D20,$D$5:$D$22)</f>
        <v>3</v>
      </c>
      <c r="F20" s="11" t="str">
        <f aca="false">IF(D20&gt;=15,"Critique",IF(D20&gt;=10,"Élevé",IF(D20&gt;=5,"Modéré","Faible")))</f>
        <v>Critique</v>
      </c>
      <c r="G20" s="5" t="s">
        <v>101</v>
      </c>
      <c r="H20" s="23"/>
      <c r="I20" s="22" t="n">
        <v>1</v>
      </c>
      <c r="J20" s="27" t="str">
        <f aca="false">IF(COUNTIFS($B$5:$B$22,$I20,$C$5:$C$22,J$15)=0,"",COUNTIFS($B$5:$B$22,$I20,$C$5:$C$22,J$15))</f>
        <v/>
      </c>
      <c r="K20" s="27" t="str">
        <f aca="false">IF(COUNTIFS($B$5:$B$22,$I20,$C$5:$C$22,K$15)=0,"",COUNTIFS($B$5:$B$22,$I20,$C$5:$C$22,K$15))</f>
        <v/>
      </c>
      <c r="L20" s="27" t="str">
        <f aca="false">IF(COUNTIFS($B$5:$B$22,$I20,$C$5:$C$22,L$15)=0,"",COUNTIFS($B$5:$B$22,$I20,$C$5:$C$22,L$15))</f>
        <v/>
      </c>
      <c r="M20" s="27" t="str">
        <f aca="false">IF(COUNTIFS($B$5:$B$22,$I20,$C$5:$C$22,M$15)=0,"",COUNTIFS($B$5:$B$22,$I20,$C$5:$C$22,M$15))</f>
        <v/>
      </c>
      <c r="N20" s="24" t="str">
        <f aca="false">IF(COUNTIFS($B$5:$B$22,$I20,$C$5:$C$22,N$15)=0,"",COUNTIFS($B$5:$B$22,$I20,$C$5:$C$22,N$15))</f>
        <v/>
      </c>
    </row>
    <row r="21" customFormat="false" ht="15" hidden="false" customHeight="false" outlineLevel="0" collapsed="false">
      <c r="A21" s="5" t="s">
        <v>57</v>
      </c>
      <c r="B21" s="10" t="n">
        <v>3</v>
      </c>
      <c r="C21" s="10" t="n">
        <v>3</v>
      </c>
      <c r="D21" s="11" t="n">
        <f aca="false">B21*C21</f>
        <v>9</v>
      </c>
      <c r="E21" s="21" t="n">
        <f aca="false">RANK(D21,$D$5:$D$22)</f>
        <v>16</v>
      </c>
      <c r="F21" s="11" t="str">
        <f aca="false">IF(D21&gt;=15,"Critique",IF(D21&gt;=10,"Élevé",IF(D21&gt;=5,"Modéré","Faible")))</f>
        <v>Modéré</v>
      </c>
      <c r="G21" s="5" t="s">
        <v>102</v>
      </c>
      <c r="H21" s="2"/>
      <c r="I21" s="2"/>
      <c r="J21" s="2"/>
      <c r="K21" s="2"/>
      <c r="L21" s="2"/>
      <c r="M21" s="2"/>
      <c r="N21" s="2"/>
    </row>
    <row r="22" customFormat="false" ht="23.85" hidden="false" customHeight="false" outlineLevel="0" collapsed="false">
      <c r="A22" s="5" t="s">
        <v>58</v>
      </c>
      <c r="B22" s="10" t="n">
        <v>4</v>
      </c>
      <c r="C22" s="10" t="n">
        <v>4</v>
      </c>
      <c r="D22" s="11" t="n">
        <f aca="false">B22*C22</f>
        <v>16</v>
      </c>
      <c r="E22" s="21" t="n">
        <f aca="false">RANK(D22,$D$5:$D$22)</f>
        <v>3</v>
      </c>
      <c r="F22" s="11" t="str">
        <f aca="false">IF(D22&gt;=15,"Critique",IF(D22&gt;=10,"Élevé",IF(D22&gt;=5,"Modéré","Faible")))</f>
        <v>Critique</v>
      </c>
      <c r="G22" s="5" t="s">
        <v>103</v>
      </c>
      <c r="H22" s="2"/>
      <c r="I22" s="2"/>
      <c r="J22" s="2"/>
      <c r="K22" s="2"/>
      <c r="L22" s="2"/>
      <c r="M22" s="2"/>
      <c r="N22" s="2"/>
    </row>
    <row r="23" customFormat="false" ht="15" hidden="false" customHeight="false" outlineLevel="0" collapsed="false">
      <c r="A23" s="13" t="s">
        <v>104</v>
      </c>
      <c r="B23" s="2" t="s">
        <v>105</v>
      </c>
      <c r="C23" s="2" t="s">
        <v>105</v>
      </c>
      <c r="D23" s="2"/>
      <c r="E23" s="2"/>
      <c r="F23" s="2"/>
      <c r="G23" s="2"/>
      <c r="H23" s="2"/>
      <c r="I23" s="2"/>
      <c r="J23" s="2"/>
      <c r="K23" s="2"/>
      <c r="L23" s="2"/>
      <c r="M23" s="2"/>
      <c r="N23" s="2"/>
    </row>
    <row r="24" customFormat="false" ht="15" hidden="false" customHeight="false" outlineLevel="0" collapsed="false">
      <c r="A24" s="12" t="s">
        <v>106</v>
      </c>
      <c r="B24" s="2"/>
      <c r="C24" s="2"/>
      <c r="D24" s="2"/>
      <c r="E24" s="2"/>
      <c r="F24" s="2"/>
      <c r="G24" s="2"/>
      <c r="H24" s="2"/>
      <c r="I24" s="2"/>
      <c r="J24" s="2"/>
      <c r="K24" s="2"/>
      <c r="L24" s="2"/>
      <c r="M24" s="2"/>
      <c r="N24" s="2"/>
    </row>
  </sheetData>
  <mergeCells count="4">
    <mergeCell ref="J4:N4"/>
    <mergeCell ref="H6:H10"/>
    <mergeCell ref="J14:N14"/>
    <mergeCell ref="H16:H20"/>
  </mergeCells>
  <conditionalFormatting sqref="D5:D22">
    <cfRule type="cellIs" priority="2" operator="greaterThanOrEqual" aboveAverage="0" equalAverage="0" bottom="0" percent="0" rank="0" text="" dxfId="3">
      <formula>15</formula>
    </cfRule>
    <cfRule type="cellIs" priority="3" operator="between" aboveAverage="0" equalAverage="0" bottom="0" percent="0" rank="0" text="" dxfId="4">
      <formula>10</formula>
      <formula>14</formula>
    </cfRule>
    <cfRule type="cellIs" priority="4" operator="between" aboveAverage="0" equalAverage="0" bottom="0" percent="0" rank="0" text="" dxfId="5">
      <formula>5</formula>
      <formula>9</formula>
    </cfRule>
    <cfRule type="cellIs" priority="5" operator="lessThan" aboveAverage="0" equalAverage="0" bottom="0" percent="0" rank="0" text="" dxfId="6">
      <formula>5</formula>
    </cfRule>
  </conditionalFormatting>
  <conditionalFormatting sqref="A5:A22">
    <cfRule type="expression" priority="6" aboveAverage="0" equalAverage="0" bottom="0" percent="0" rank="0" text="" dxfId="7">
      <formula>$D5&gt;=12</formula>
    </cfRule>
  </conditionalFormatting>
  <conditionalFormatting sqref="J6:N10">
    <cfRule type="cellIs" priority="7" operator="greaterThanOrEqual" aboveAverage="0" equalAverage="0" bottom="0" percent="0" rank="0" text="" dxfId="3">
      <formula>15</formula>
    </cfRule>
    <cfRule type="cellIs" priority="8" operator="between" aboveAverage="0" equalAverage="0" bottom="0" percent="0" rank="0" text="" dxfId="4">
      <formula>10</formula>
      <formula>14</formula>
    </cfRule>
    <cfRule type="cellIs" priority="9" operator="between" aboveAverage="0" equalAverage="0" bottom="0" percent="0" rank="0" text="" dxfId="5">
      <formula>5</formula>
      <formula>9</formula>
    </cfRule>
    <cfRule type="cellIs" priority="10" operator="lessThan" aboveAverage="0" equalAverage="0" bottom="0" percent="0" rank="0" text="" dxfId="6">
      <formula>5</formula>
    </cfRule>
  </conditionalFormatting>
  <dataValidations count="1">
    <dataValidation allowBlank="false" error="Note entre 1 et 5" errorStyle="stop" operator="between" showDropDown="false" showErrorMessage="true" showInputMessage="false" sqref="B5:C22"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34"/>
  </cols>
  <sheetData>
    <row r="1" customFormat="false" ht="17.35" hidden="false" customHeight="false" outlineLevel="0" collapsed="false">
      <c r="A1" s="1" t="s">
        <v>107</v>
      </c>
      <c r="B1" s="2"/>
      <c r="C1" s="2"/>
      <c r="D1" s="2"/>
      <c r="E1" s="2"/>
      <c r="F1" s="2"/>
    </row>
    <row r="2" customFormat="false" ht="15" hidden="false" customHeight="false" outlineLevel="0" collapsed="false">
      <c r="A2" s="2"/>
      <c r="B2" s="2"/>
      <c r="C2" s="2"/>
      <c r="D2" s="2"/>
      <c r="E2" s="2"/>
      <c r="F2" s="2"/>
    </row>
    <row r="3" customFormat="false" ht="15" hidden="false" customHeight="true" outlineLevel="0" collapsed="false">
      <c r="A3" s="2"/>
      <c r="B3" s="20" t="s">
        <v>108</v>
      </c>
      <c r="C3" s="20"/>
      <c r="D3" s="20"/>
      <c r="E3" s="20"/>
      <c r="F3" s="20"/>
    </row>
    <row r="4" customFormat="false" ht="15" hidden="false" customHeight="false" outlineLevel="0" collapsed="false">
      <c r="A4" s="6" t="s">
        <v>109</v>
      </c>
      <c r="B4" s="6" t="s">
        <v>110</v>
      </c>
      <c r="C4" s="6" t="s">
        <v>111</v>
      </c>
      <c r="D4" s="6" t="s">
        <v>112</v>
      </c>
      <c r="E4" s="6" t="s">
        <v>113</v>
      </c>
      <c r="F4" s="6" t="s">
        <v>114</v>
      </c>
    </row>
    <row r="5" customFormat="false" ht="61.5" hidden="false" customHeight="true" outlineLevel="0" collapsed="false">
      <c r="A5" s="28" t="s">
        <v>115</v>
      </c>
      <c r="B5" s="5" t="s">
        <v>116</v>
      </c>
      <c r="C5" s="5" t="s">
        <v>117</v>
      </c>
      <c r="D5" s="5" t="s">
        <v>118</v>
      </c>
      <c r="E5" s="5" t="s">
        <v>119</v>
      </c>
      <c r="F5" s="5" t="s">
        <v>120</v>
      </c>
    </row>
    <row r="6" customFormat="false" ht="61.5" hidden="false" customHeight="true" outlineLevel="0" collapsed="false">
      <c r="A6" s="28" t="s">
        <v>121</v>
      </c>
      <c r="B6" s="5" t="s">
        <v>122</v>
      </c>
      <c r="C6" s="5" t="s">
        <v>123</v>
      </c>
      <c r="D6" s="5" t="s">
        <v>124</v>
      </c>
      <c r="E6" s="5" t="s">
        <v>125</v>
      </c>
      <c r="F6" s="5" t="s">
        <v>126</v>
      </c>
    </row>
    <row r="7" customFormat="false" ht="61.5" hidden="false" customHeight="true" outlineLevel="0" collapsed="false">
      <c r="A7" s="28" t="s">
        <v>43</v>
      </c>
      <c r="B7" s="5" t="s">
        <v>127</v>
      </c>
      <c r="C7" s="5" t="s">
        <v>128</v>
      </c>
      <c r="D7" s="5" t="s">
        <v>129</v>
      </c>
      <c r="E7" s="5" t="s">
        <v>130</v>
      </c>
      <c r="F7" s="5" t="s">
        <v>131</v>
      </c>
    </row>
    <row r="8" customFormat="false" ht="61.5" hidden="false" customHeight="true" outlineLevel="0" collapsed="false">
      <c r="A8" s="28" t="s">
        <v>132</v>
      </c>
      <c r="B8" s="5" t="s">
        <v>133</v>
      </c>
      <c r="C8" s="5" t="s">
        <v>134</v>
      </c>
      <c r="D8" s="5" t="s">
        <v>135</v>
      </c>
      <c r="E8" s="5" t="s">
        <v>136</v>
      </c>
      <c r="F8" s="5" t="s">
        <v>137</v>
      </c>
    </row>
    <row r="9" customFormat="false" ht="61.5" hidden="false" customHeight="true" outlineLevel="0" collapsed="false">
      <c r="A9" s="28" t="s">
        <v>138</v>
      </c>
      <c r="B9" s="5" t="s">
        <v>139</v>
      </c>
      <c r="C9" s="5" t="s">
        <v>140</v>
      </c>
      <c r="D9" s="5" t="s">
        <v>141</v>
      </c>
      <c r="E9" s="5" t="s">
        <v>142</v>
      </c>
      <c r="F9" s="5" t="s">
        <v>143</v>
      </c>
    </row>
    <row r="10" customFormat="false" ht="61.5" hidden="false" customHeight="true" outlineLevel="0" collapsed="false">
      <c r="A10" s="28" t="s">
        <v>144</v>
      </c>
      <c r="B10" s="5" t="s">
        <v>145</v>
      </c>
      <c r="C10" s="5" t="s">
        <v>146</v>
      </c>
      <c r="D10" s="5" t="s">
        <v>147</v>
      </c>
      <c r="E10" s="5" t="s">
        <v>148</v>
      </c>
      <c r="F10" s="5" t="s">
        <v>149</v>
      </c>
    </row>
    <row r="11" customFormat="false" ht="61.5" hidden="false" customHeight="true" outlineLevel="0" collapsed="false">
      <c r="A11" s="28" t="s">
        <v>150</v>
      </c>
      <c r="B11" s="5" t="s">
        <v>151</v>
      </c>
      <c r="C11" s="5" t="s">
        <v>152</v>
      </c>
      <c r="D11" s="5" t="s">
        <v>153</v>
      </c>
      <c r="E11" s="5" t="s">
        <v>154</v>
      </c>
      <c r="F11" s="5" t="s">
        <v>155</v>
      </c>
    </row>
    <row r="12" customFormat="false" ht="61.5" hidden="false" customHeight="true" outlineLevel="0" collapsed="false">
      <c r="A12" s="28" t="s">
        <v>156</v>
      </c>
      <c r="B12" s="5" t="s">
        <v>157</v>
      </c>
      <c r="C12" s="5" t="s">
        <v>158</v>
      </c>
      <c r="D12" s="5" t="s">
        <v>159</v>
      </c>
      <c r="E12" s="5" t="s">
        <v>160</v>
      </c>
      <c r="F12" s="5" t="s">
        <v>161</v>
      </c>
    </row>
    <row r="13" customFormat="false" ht="61.5" hidden="false" customHeight="true" outlineLevel="0" collapsed="false">
      <c r="A13" s="28" t="s">
        <v>162</v>
      </c>
      <c r="B13" s="5" t="s">
        <v>163</v>
      </c>
      <c r="C13" s="5" t="s">
        <v>164</v>
      </c>
      <c r="D13" s="5" t="s">
        <v>165</v>
      </c>
      <c r="E13" s="5" t="s">
        <v>166</v>
      </c>
      <c r="F13" s="5" t="s">
        <v>167</v>
      </c>
    </row>
    <row r="14" customFormat="false" ht="61.5" hidden="false" customHeight="true" outlineLevel="0" collapsed="false">
      <c r="A14" s="28" t="s">
        <v>32</v>
      </c>
      <c r="B14" s="5" t="s">
        <v>168</v>
      </c>
      <c r="C14" s="5" t="s">
        <v>169</v>
      </c>
      <c r="D14" s="5" t="s">
        <v>170</v>
      </c>
      <c r="E14" s="5" t="s">
        <v>171</v>
      </c>
      <c r="F14" s="5" t="s">
        <v>172</v>
      </c>
    </row>
    <row r="15" customFormat="false" ht="61.5" hidden="false" customHeight="true" outlineLevel="0" collapsed="false">
      <c r="A15" s="28" t="s">
        <v>173</v>
      </c>
      <c r="B15" s="5" t="s">
        <v>174</v>
      </c>
      <c r="C15" s="5" t="s">
        <v>175</v>
      </c>
      <c r="D15" s="5" t="s">
        <v>176</v>
      </c>
      <c r="E15" s="5" t="s">
        <v>177</v>
      </c>
      <c r="F15" s="5" t="s">
        <v>178</v>
      </c>
    </row>
    <row r="16" customFormat="false" ht="61.5" hidden="false" customHeight="true" outlineLevel="0" collapsed="false">
      <c r="A16" s="28" t="s">
        <v>179</v>
      </c>
      <c r="B16" s="5" t="s">
        <v>180</v>
      </c>
      <c r="C16" s="5" t="s">
        <v>181</v>
      </c>
      <c r="D16" s="5" t="s">
        <v>182</v>
      </c>
      <c r="E16" s="5" t="s">
        <v>183</v>
      </c>
      <c r="F16" s="5" t="s">
        <v>184</v>
      </c>
    </row>
  </sheetData>
  <mergeCells count="1">
    <mergeCell ref="B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5"/>
    <col collapsed="false" customWidth="true" hidden="false" outlineLevel="0" max="3" min="3" style="0" width="95"/>
  </cols>
  <sheetData>
    <row r="1" customFormat="false" ht="17.35" hidden="false" customHeight="false" outlineLevel="0" collapsed="false">
      <c r="A1" s="1" t="s">
        <v>185</v>
      </c>
      <c r="B1" s="2"/>
      <c r="C1" s="2"/>
    </row>
    <row r="2" customFormat="false" ht="15" hidden="false" customHeight="false" outlineLevel="0" collapsed="false">
      <c r="A2" s="3" t="s">
        <v>186</v>
      </c>
      <c r="B2" s="2"/>
      <c r="C2" s="2"/>
    </row>
    <row r="3" customFormat="false" ht="15" hidden="false" customHeight="false" outlineLevel="0" collapsed="false">
      <c r="A3" s="2"/>
      <c r="B3" s="2"/>
      <c r="C3" s="2"/>
    </row>
    <row r="4" customFormat="false" ht="15" hidden="false" customHeight="false" outlineLevel="0" collapsed="false">
      <c r="A4" s="6" t="s">
        <v>187</v>
      </c>
      <c r="B4" s="6" t="s">
        <v>188</v>
      </c>
      <c r="C4" s="6" t="s">
        <v>189</v>
      </c>
    </row>
    <row r="5" customFormat="false" ht="174.75" hidden="false" customHeight="true" outlineLevel="0" collapsed="false">
      <c r="A5" s="29" t="s">
        <v>190</v>
      </c>
      <c r="B5" s="5" t="s">
        <v>191</v>
      </c>
      <c r="C5" s="5" t="s">
        <v>192</v>
      </c>
    </row>
    <row r="6" customFormat="false" ht="174.75" hidden="false" customHeight="true" outlineLevel="0" collapsed="false">
      <c r="A6" s="29" t="s">
        <v>193</v>
      </c>
      <c r="B6" s="5" t="s">
        <v>194</v>
      </c>
      <c r="C6" s="5" t="s">
        <v>195</v>
      </c>
    </row>
    <row r="7" customFormat="false" ht="174.75" hidden="false" customHeight="true" outlineLevel="0" collapsed="false">
      <c r="A7" s="29" t="s">
        <v>196</v>
      </c>
      <c r="B7" s="5" t="s">
        <v>197</v>
      </c>
      <c r="C7" s="5" t="s">
        <v>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
    <col collapsed="false" customWidth="true" hidden="false" outlineLevel="0" max="3" min="3" style="0" width="30"/>
    <col collapsed="false" customWidth="true" hidden="false" outlineLevel="0" max="4" min="4" style="0" width="80"/>
    <col collapsed="false" customWidth="true" hidden="false" outlineLevel="0" max="5" min="5" style="0" width="12"/>
  </cols>
  <sheetData>
    <row r="1" customFormat="false" ht="17.35" hidden="false" customHeight="false" outlineLevel="0" collapsed="false">
      <c r="A1" s="1" t="s">
        <v>199</v>
      </c>
      <c r="B1" s="2"/>
      <c r="C1" s="2"/>
      <c r="D1" s="2"/>
      <c r="E1" s="2"/>
    </row>
    <row r="2" customFormat="false" ht="15" hidden="false" customHeight="false" outlineLevel="0" collapsed="false">
      <c r="A2" s="3" t="s">
        <v>200</v>
      </c>
      <c r="B2" s="2"/>
      <c r="C2" s="2"/>
      <c r="D2" s="2"/>
      <c r="E2" s="2"/>
    </row>
    <row r="3" customFormat="false" ht="15" hidden="false" customHeight="false" outlineLevel="0" collapsed="false">
      <c r="A3" s="2"/>
      <c r="B3" s="2"/>
      <c r="C3" s="2"/>
      <c r="D3" s="2"/>
      <c r="E3" s="2"/>
    </row>
    <row r="4" customFormat="false" ht="23.85" hidden="false" customHeight="false" outlineLevel="0" collapsed="false">
      <c r="A4" s="6" t="s">
        <v>201</v>
      </c>
      <c r="B4" s="6" t="s">
        <v>83</v>
      </c>
      <c r="C4" s="6" t="s">
        <v>202</v>
      </c>
      <c r="D4" s="6" t="s">
        <v>203</v>
      </c>
      <c r="E4" s="6" t="s">
        <v>204</v>
      </c>
    </row>
    <row r="5" customFormat="false" ht="60" hidden="false" customHeight="true" outlineLevel="0" collapsed="false">
      <c r="A5" s="29" t="s">
        <v>205</v>
      </c>
      <c r="B5" s="30" t="s">
        <v>206</v>
      </c>
      <c r="C5" s="29" t="s">
        <v>207</v>
      </c>
      <c r="D5" s="5" t="s">
        <v>208</v>
      </c>
      <c r="E5" s="30" t="s">
        <v>209</v>
      </c>
    </row>
    <row r="6" customFormat="false" ht="60" hidden="false" customHeight="true" outlineLevel="0" collapsed="false">
      <c r="A6" s="29" t="s">
        <v>210</v>
      </c>
      <c r="B6" s="30" t="s">
        <v>211</v>
      </c>
      <c r="C6" s="29" t="s">
        <v>212</v>
      </c>
      <c r="D6" s="5" t="s">
        <v>213</v>
      </c>
      <c r="E6" s="30" t="s">
        <v>209</v>
      </c>
    </row>
    <row r="7" customFormat="false" ht="60" hidden="false" customHeight="true" outlineLevel="0" collapsed="false">
      <c r="A7" s="29" t="s">
        <v>214</v>
      </c>
      <c r="B7" s="30" t="s">
        <v>206</v>
      </c>
      <c r="C7" s="29" t="s">
        <v>215</v>
      </c>
      <c r="D7" s="5" t="s">
        <v>216</v>
      </c>
      <c r="E7" s="30" t="s">
        <v>217</v>
      </c>
    </row>
    <row r="8" customFormat="false" ht="60" hidden="false" customHeight="true" outlineLevel="0" collapsed="false">
      <c r="A8" s="29" t="s">
        <v>218</v>
      </c>
      <c r="B8" s="30" t="s">
        <v>211</v>
      </c>
      <c r="C8" s="29" t="s">
        <v>219</v>
      </c>
      <c r="D8" s="5" t="s">
        <v>220</v>
      </c>
      <c r="E8" s="30" t="s">
        <v>221</v>
      </c>
    </row>
    <row r="9" customFormat="false" ht="60" hidden="false" customHeight="true" outlineLevel="0" collapsed="false">
      <c r="A9" s="29" t="s">
        <v>222</v>
      </c>
      <c r="B9" s="30" t="s">
        <v>211</v>
      </c>
      <c r="C9" s="29" t="s">
        <v>223</v>
      </c>
      <c r="D9" s="5" t="s">
        <v>224</v>
      </c>
      <c r="E9" s="30" t="s">
        <v>209</v>
      </c>
    </row>
    <row r="10" customFormat="false" ht="60" hidden="false" customHeight="true" outlineLevel="0" collapsed="false">
      <c r="A10" s="29" t="s">
        <v>225</v>
      </c>
      <c r="B10" s="30" t="s">
        <v>211</v>
      </c>
      <c r="C10" s="29" t="s">
        <v>226</v>
      </c>
      <c r="D10" s="5" t="s">
        <v>227</v>
      </c>
      <c r="E10" s="30" t="s">
        <v>209</v>
      </c>
    </row>
    <row r="11" customFormat="false" ht="60" hidden="false" customHeight="true" outlineLevel="0" collapsed="false">
      <c r="A11" s="29" t="s">
        <v>228</v>
      </c>
      <c r="B11" s="30" t="s">
        <v>211</v>
      </c>
      <c r="C11" s="29" t="s">
        <v>229</v>
      </c>
      <c r="D11" s="5" t="s">
        <v>230</v>
      </c>
      <c r="E11" s="30" t="s">
        <v>209</v>
      </c>
    </row>
    <row r="12" customFormat="false" ht="60" hidden="false" customHeight="true" outlineLevel="0" collapsed="false">
      <c r="A12" s="29" t="s">
        <v>231</v>
      </c>
      <c r="B12" s="30" t="s">
        <v>211</v>
      </c>
      <c r="C12" s="29" t="s">
        <v>232</v>
      </c>
      <c r="D12" s="5" t="s">
        <v>233</v>
      </c>
      <c r="E12" s="30" t="s">
        <v>234</v>
      </c>
    </row>
    <row r="13" customFormat="false" ht="15" hidden="false" customHeight="false" outlineLevel="0" collapsed="false">
      <c r="A13" s="2"/>
      <c r="B13" s="2"/>
      <c r="C13" s="2"/>
      <c r="D13" s="2"/>
      <c r="E13" s="2"/>
    </row>
    <row r="14" customFormat="false" ht="15" hidden="false" customHeight="false" outlineLevel="0" collapsed="false">
      <c r="A14" s="31" t="s">
        <v>235</v>
      </c>
      <c r="B14" s="2"/>
      <c r="C14" s="2"/>
      <c r="D14" s="2"/>
      <c r="E14" s="2"/>
    </row>
    <row r="15" customFormat="false" ht="75" hidden="false" customHeight="true" outlineLevel="0" collapsed="false">
      <c r="A15" s="32" t="s">
        <v>236</v>
      </c>
      <c r="B15" s="32"/>
      <c r="C15" s="32"/>
      <c r="D15" s="32"/>
      <c r="E15" s="32"/>
    </row>
  </sheetData>
  <mergeCells count="1">
    <mergeCell ref="A15:E15"/>
  </mergeCells>
  <conditionalFormatting sqref="B5:B12">
    <cfRule type="cellIs" priority="2" operator="equal" aboveAverage="0" equalAverage="0" bottom="0" percent="0" rank="0" text="" dxfId="3">
      <formula>"Critique"</formula>
    </cfRule>
    <cfRule type="cellIs" priority="3" operator="equal" aboveAverage="0" equalAverage="0" bottom="0" percent="0" rank="0" text="" dxfId="4">
      <formula>"Élevé"</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2026-10-30T08:01:50Z</dcterms:created>
  <dc:creator>openpyxl</dc:creator>
  <dc:description/>
  <dc:language>en-US</dc:language>
  <cp:lastModifiedBy/>
  <dcterms:modified xsi:type="dcterms:W3CDTF">2026-10-30T08:01:54Z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